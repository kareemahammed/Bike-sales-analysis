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My Data\"/>
    </mc:Choice>
  </mc:AlternateContent>
  <xr:revisionPtr revIDLastSave="0" documentId="13_ncr:1_{DF5A3B3D-1897-4CAD-8AAC-5D67969F42A7}" xr6:coauthVersionLast="47" xr6:coauthVersionMax="47" xr10:uidLastSave="{00000000-0000-0000-0000-000000000000}"/>
  <bookViews>
    <workbookView xWindow="-110" yWindow="-110" windowWidth="19420" windowHeight="11020" activeTab="3" xr2:uid="{00000000-000D-0000-FFFF-FFFF00000000}"/>
  </bookViews>
  <sheets>
    <sheet name="bike_buyers" sheetId="1" r:id="rId1"/>
    <sheet name="working sheet" sheetId="2" r:id="rId2"/>
    <sheet name="pivotTable" sheetId="3" r:id="rId3"/>
    <sheet name="Dashboard" sheetId="4" r:id="rId4"/>
  </sheets>
  <definedNames>
    <definedName name="_xlnm._FilterDatabase" localSheetId="0" hidden="1">bike_buyers!$A$1:$M$1027</definedName>
    <definedName name="_xlnm._FilterDatabase" localSheetId="1" hidden="1">'working sheet'!$A$1:$N$1001</definedName>
    <definedName name="Slicer_Education">#N/A</definedName>
    <definedName name="Slicer_Marriedarital_Single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<sst xmlns="http://schemas.openxmlformats.org/spreadsheetml/2006/main" count="16308" uniqueCount="55">
  <si>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</si>
  <si>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</si>
  <si>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</si>
  <si>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</si>
  <si>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</si>
  <si>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</si>
  <si>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</si>
  <si>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</si>
  <si>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</si>
  <si>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</si>
  <si>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</si>
  <si>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</si>
  <si>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</si>
  <si>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</si>
  <si>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</si>
  <si>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</si>
  <si>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</si>
  <si>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</si>
  <si>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</si>
  <si>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</si>
  <si>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</si>
  <si>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</si>
  <si>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</si>
  <si>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</si>
  <si>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</si>
  <si>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</si>
  <si>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</si>
  <si>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</si>
  <si>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</si>
  <si>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</si>
  <si>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</si>
  <si>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</si>
  <si>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</si>
  <si>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</si>
  <si>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</si>
  <si>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</si>
  <si>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</si>
  <si>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</si>
  <si>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t>
  </si>
  <si>
    <t>Female</t>
  </si>
  <si>
    <t>Male</t>
  </si>
  <si>
    <t>Age Brakets</t>
  </si>
  <si>
    <t>Row Labels</t>
  </si>
  <si>
    <t>Grand Total</t>
  </si>
  <si>
    <t>Average of Income</t>
  </si>
  <si>
    <t>Column Labels</t>
  </si>
  <si>
    <t>Count of Purchased Bike</t>
  </si>
  <si>
    <t>More than 10 miles</t>
  </si>
  <si>
    <t>Old</t>
  </si>
  <si>
    <t>Middle age</t>
  </si>
  <si>
    <t>Adolenece</t>
  </si>
  <si>
    <t>Total Count of Purchased Bike</t>
  </si>
  <si>
    <t>Total Sum of Age</t>
  </si>
  <si>
    <t>Sum of Age</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</si>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</sst>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F4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4" fillId="33" borderId="0" xfId="0" applyFont="1" applyFill="1"/>
    <xf numFmtId="0" fontId="19" fillId="33" borderId="0" xfId="0" applyFont="1" applyFill="1"/>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colors>
    <mruColors>
      <color rgb="FF2F80ED"/>
      <color rgb="FF1C3F88"/>
      <color rgb="FFF2F4F7"/>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a:t>
            </a:r>
            <a:r>
              <a:rPr lang="en-US" baseline="0"/>
              <a:t> Bike</a:t>
            </a:r>
            <a:r>
              <a:rPr lang="en-US"/>
              <a:t> Purchase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C3F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Yes</c:v>
                </c:pt>
              </c:strCache>
            </c:strRef>
          </c:tx>
          <c:spPr>
            <a:solidFill>
              <a:srgbClr val="1C3F88"/>
            </a:solidFill>
            <a:ln>
              <a:noFill/>
            </a:ln>
            <a:effectLst/>
          </c:spPr>
          <c:invertIfNegative val="0"/>
          <c:cat>
            <c:strRef>
              <c:f>pivotTable!$A$3:$A$5</c:f>
              <c:strCache>
                <c:ptCount val="2"/>
                <c:pt idx="0">
                  <c:v>Female</c:v>
                </c:pt>
                <c:pt idx="1">
                  <c:v>Male</c:v>
                </c:pt>
              </c:strCache>
            </c:strRef>
          </c:cat>
          <c:val>
            <c:numRef>
              <c:f>pivotTable!$B$3:$B$5</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0-B400-44F1-86B8-B283020D54F3}"/>
            </c:ext>
          </c:extLst>
        </c:ser>
        <c:ser>
          <c:idx val="1"/>
          <c:order val="1"/>
          <c:tx>
            <c:strRef>
              <c:f>pivotTable!$C$1:$C$2</c:f>
              <c:strCache>
                <c:ptCount val="1"/>
                <c:pt idx="0">
                  <c:v>No</c:v>
                </c:pt>
              </c:strCache>
            </c:strRef>
          </c:tx>
          <c:spPr>
            <a:solidFill>
              <a:srgbClr val="2F80ED"/>
            </a:solidFill>
            <a:ln>
              <a:noFill/>
            </a:ln>
            <a:effectLst/>
          </c:spPr>
          <c:invertIfNegative val="0"/>
          <c:cat>
            <c:strRef>
              <c:f>pivotTable!$A$3:$A$5</c:f>
              <c:strCache>
                <c:ptCount val="2"/>
                <c:pt idx="0">
                  <c:v>Female</c:v>
                </c:pt>
                <c:pt idx="1">
                  <c:v>Male</c:v>
                </c:pt>
              </c:strCache>
            </c:strRef>
          </c:cat>
          <c:val>
            <c:numRef>
              <c:f>pivotTable!$C$3:$C$5</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1-B400-44F1-86B8-B283020D54F3}"/>
            </c:ext>
          </c:extLst>
        </c:ser>
        <c:dLbls>
          <c:showLegendKey val="0"/>
          <c:showVal val="0"/>
          <c:showCatName val="0"/>
          <c:showSerName val="0"/>
          <c:showPercent val="0"/>
          <c:showBubbleSize val="0"/>
        </c:dLbls>
        <c:gapWidth val="219"/>
        <c:axId val="796014239"/>
        <c:axId val="796019519"/>
      </c:barChart>
      <c:catAx>
        <c:axId val="796014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019519"/>
        <c:crosses val="autoZero"/>
        <c:auto val="1"/>
        <c:lblAlgn val="ctr"/>
        <c:lblOffset val="100"/>
        <c:noMultiLvlLbl val="0"/>
      </c:catAx>
      <c:valAx>
        <c:axId val="7960195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014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alpha val="80000"/>
        </a:schemeClr>
      </a:solidFill>
      <a:round/>
    </a:ln>
    <a:effectLst/>
  </c:spPr>
  <c:txPr>
    <a:bodyPr/>
    <a:lstStyle/>
    <a:p>
      <a:pPr>
        <a:defRPr i="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Bike Purchase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F80ED"/>
          </a:solidFill>
          <a:ln>
            <a:solidFill>
              <a:srgbClr val="2F80E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C3F88"/>
          </a:solidFill>
          <a:ln>
            <a:solidFill>
              <a:srgbClr val="1C3F88"/>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pivotTable!$B$8:$B$9</c:f>
              <c:strCache>
                <c:ptCount val="1"/>
                <c:pt idx="0">
                  <c:v>Yes</c:v>
                </c:pt>
              </c:strCache>
            </c:strRef>
          </c:tx>
          <c:spPr>
            <a:solidFill>
              <a:srgbClr val="1C3F88"/>
            </a:solidFill>
            <a:ln>
              <a:solidFill>
                <a:srgbClr val="1C3F88"/>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pivotTable!$A$10:$A$15</c:f>
              <c:strCache>
                <c:ptCount val="5"/>
                <c:pt idx="0">
                  <c:v>0-1 Miles</c:v>
                </c:pt>
                <c:pt idx="1">
                  <c:v>1-2 Miles</c:v>
                </c:pt>
                <c:pt idx="2">
                  <c:v>2-5 Miles</c:v>
                </c:pt>
                <c:pt idx="3">
                  <c:v>5-10 Miles</c:v>
                </c:pt>
                <c:pt idx="4">
                  <c:v>More than 10 miles</c:v>
                </c:pt>
              </c:strCache>
            </c:strRef>
          </c:cat>
          <c:val>
            <c:numRef>
              <c:f>pivotTable!$B$10:$B$15</c:f>
              <c:numCache>
                <c:formatCode>General</c:formatCode>
                <c:ptCount val="5"/>
                <c:pt idx="0">
                  <c:v>98</c:v>
                </c:pt>
                <c:pt idx="1">
                  <c:v>38</c:v>
                </c:pt>
                <c:pt idx="2">
                  <c:v>44</c:v>
                </c:pt>
                <c:pt idx="3">
                  <c:v>38</c:v>
                </c:pt>
                <c:pt idx="4">
                  <c:v>13</c:v>
                </c:pt>
              </c:numCache>
            </c:numRef>
          </c:val>
          <c:extLst>
            <c:ext xmlns:c16="http://schemas.microsoft.com/office/drawing/2014/chart" uri="{C3380CC4-5D6E-409C-BE32-E72D297353CC}">
              <c16:uniqueId val="{00000000-0717-4F47-AEBD-55525FE1346C}"/>
            </c:ext>
          </c:extLst>
        </c:ser>
        <c:ser>
          <c:idx val="1"/>
          <c:order val="1"/>
          <c:tx>
            <c:strRef>
              <c:f>pivotTable!$C$8:$C$9</c:f>
              <c:strCache>
                <c:ptCount val="1"/>
                <c:pt idx="0">
                  <c:v>No</c:v>
                </c:pt>
              </c:strCache>
            </c:strRef>
          </c:tx>
          <c:spPr>
            <a:solidFill>
              <a:srgbClr val="2F80ED"/>
            </a:solidFill>
            <a:ln>
              <a:solidFill>
                <a:srgbClr val="2F80ED"/>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pivotTable!$A$10:$A$15</c:f>
              <c:strCache>
                <c:ptCount val="5"/>
                <c:pt idx="0">
                  <c:v>0-1 Miles</c:v>
                </c:pt>
                <c:pt idx="1">
                  <c:v>1-2 Miles</c:v>
                </c:pt>
                <c:pt idx="2">
                  <c:v>2-5 Miles</c:v>
                </c:pt>
                <c:pt idx="3">
                  <c:v>5-10 Miles</c:v>
                </c:pt>
                <c:pt idx="4">
                  <c:v>More than 10 miles</c:v>
                </c:pt>
              </c:strCache>
            </c:strRef>
          </c:cat>
          <c:val>
            <c:numRef>
              <c:f>pivotTable!$C$10:$C$15</c:f>
              <c:numCache>
                <c:formatCode>General</c:formatCode>
                <c:ptCount val="5"/>
                <c:pt idx="0">
                  <c:v>107</c:v>
                </c:pt>
                <c:pt idx="1">
                  <c:v>50</c:v>
                </c:pt>
                <c:pt idx="2">
                  <c:v>37</c:v>
                </c:pt>
                <c:pt idx="3">
                  <c:v>63</c:v>
                </c:pt>
                <c:pt idx="4">
                  <c:v>50</c:v>
                </c:pt>
              </c:numCache>
            </c:numRef>
          </c:val>
          <c:extLst>
            <c:ext xmlns:c16="http://schemas.microsoft.com/office/drawing/2014/chart" uri="{C3380CC4-5D6E-409C-BE32-E72D297353CC}">
              <c16:uniqueId val="{00000001-0717-4F47-AEBD-55525FE1346C}"/>
            </c:ext>
          </c:extLst>
        </c:ser>
        <c:dLbls>
          <c:dLblPos val="outEnd"/>
          <c:showLegendKey val="0"/>
          <c:showVal val="1"/>
          <c:showCatName val="0"/>
          <c:showSerName val="0"/>
          <c:showPercent val="0"/>
          <c:showBubbleSize val="0"/>
        </c:dLbls>
        <c:gapWidth val="150"/>
        <c:axId val="779970208"/>
        <c:axId val="779961088"/>
      </c:barChart>
      <c:catAx>
        <c:axId val="779970208"/>
        <c:scaling>
          <c:orientation val="minMax"/>
        </c:scaling>
        <c:delete val="1"/>
        <c:axPos val="b"/>
        <c:numFmt formatCode="General" sourceLinked="1"/>
        <c:majorTickMark val="out"/>
        <c:minorTickMark val="none"/>
        <c:tickLblPos val="nextTo"/>
        <c:crossAx val="779961088"/>
        <c:crosses val="autoZero"/>
        <c:auto val="1"/>
        <c:lblAlgn val="ctr"/>
        <c:lblOffset val="100"/>
        <c:noMultiLvlLbl val="0"/>
      </c:catAx>
      <c:valAx>
        <c:axId val="779961088"/>
        <c:scaling>
          <c:orientation val="minMax"/>
        </c:scaling>
        <c:delete val="1"/>
        <c:axPos val="l"/>
        <c:numFmt formatCode="General" sourceLinked="1"/>
        <c:majorTickMark val="out"/>
        <c:minorTickMark val="none"/>
        <c:tickLblPos val="nextTo"/>
        <c:crossAx val="7799702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alpha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Bike Purchase by Age Braket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F80ED"/>
          </a:solidFill>
          <a:ln>
            <a:solidFill>
              <a:srgbClr val="2F80ED"/>
            </a:solidFill>
          </a:ln>
          <a:effectLst/>
        </c:spPr>
        <c:marker>
          <c:symbol val="circle"/>
          <c:size val="5"/>
          <c:spPr>
            <a:solidFill>
              <a:srgbClr val="2F80ED"/>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C3F88"/>
          </a:solidFill>
          <a:ln>
            <a:solidFill>
              <a:srgbClr val="1C3F88"/>
            </a:solidFill>
          </a:ln>
          <a:effectLst/>
        </c:spPr>
        <c:marker>
          <c:symbol val="circle"/>
          <c:size val="5"/>
          <c:spPr>
            <a:solidFill>
              <a:srgbClr val="1C3F88"/>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C3F88"/>
          </a:solidFill>
          <a:ln>
            <a:solidFill>
              <a:srgbClr val="1C3F88"/>
            </a:solidFill>
          </a:ln>
          <a:effectLst/>
        </c:spPr>
      </c:pivotFmt>
      <c:pivotFmt>
        <c:idx val="7"/>
        <c:spPr>
          <a:solidFill>
            <a:srgbClr val="1C3F88"/>
          </a:solidFill>
          <a:ln>
            <a:solidFill>
              <a:srgbClr val="1C3F88"/>
            </a:solidFill>
          </a:ln>
          <a:effectLst/>
        </c:spPr>
      </c:pivotFmt>
    </c:pivotFmts>
    <c:plotArea>
      <c:layout/>
      <c:barChart>
        <c:barDir val="bar"/>
        <c:grouping val="clustered"/>
        <c:varyColors val="0"/>
        <c:ser>
          <c:idx val="0"/>
          <c:order val="0"/>
          <c:tx>
            <c:strRef>
              <c:f>pivotTable!$B$17:$B$18</c:f>
              <c:strCache>
                <c:ptCount val="1"/>
                <c:pt idx="0">
                  <c:v>Yes</c:v>
                </c:pt>
              </c:strCache>
            </c:strRef>
          </c:tx>
          <c:spPr>
            <a:solidFill>
              <a:srgbClr val="1C3F88"/>
            </a:solidFill>
            <a:ln>
              <a:solidFill>
                <a:srgbClr val="1C3F88"/>
              </a:solidFill>
            </a:ln>
            <a:effectLst/>
          </c:spPr>
          <c:invertIfNegative val="0"/>
          <c:cat>
            <c:strRef>
              <c:f>pivotTable!$A$19:$A$22</c:f>
              <c:strCache>
                <c:ptCount val="3"/>
                <c:pt idx="0">
                  <c:v>Old</c:v>
                </c:pt>
                <c:pt idx="1">
                  <c:v>Middle age</c:v>
                </c:pt>
                <c:pt idx="2">
                  <c:v>Adolenece</c:v>
                </c:pt>
              </c:strCache>
            </c:strRef>
          </c:cat>
          <c:val>
            <c:numRef>
              <c:f>pivotTable!$B$19:$B$22</c:f>
              <c:numCache>
                <c:formatCode>General</c:formatCode>
                <c:ptCount val="3"/>
                <c:pt idx="0">
                  <c:v>32</c:v>
                </c:pt>
                <c:pt idx="1">
                  <c:v>185</c:v>
                </c:pt>
                <c:pt idx="2">
                  <c:v>14</c:v>
                </c:pt>
              </c:numCache>
            </c:numRef>
          </c:val>
          <c:extLst>
            <c:ext xmlns:c16="http://schemas.microsoft.com/office/drawing/2014/chart" uri="{C3380CC4-5D6E-409C-BE32-E72D297353CC}">
              <c16:uniqueId val="{00000000-C71A-4F30-8037-D93CD5F48AC5}"/>
            </c:ext>
          </c:extLst>
        </c:ser>
        <c:ser>
          <c:idx val="1"/>
          <c:order val="1"/>
          <c:tx>
            <c:strRef>
              <c:f>pivotTable!$C$17:$C$18</c:f>
              <c:strCache>
                <c:ptCount val="1"/>
                <c:pt idx="0">
                  <c:v>No</c:v>
                </c:pt>
              </c:strCache>
            </c:strRef>
          </c:tx>
          <c:spPr>
            <a:solidFill>
              <a:srgbClr val="2F80ED"/>
            </a:solidFill>
            <a:ln>
              <a:solidFill>
                <a:srgbClr val="2F80ED"/>
              </a:solidFill>
            </a:ln>
            <a:effectLst/>
          </c:spPr>
          <c:invertIfNegative val="0"/>
          <c:cat>
            <c:strRef>
              <c:f>pivotTable!$A$19:$A$22</c:f>
              <c:strCache>
                <c:ptCount val="3"/>
                <c:pt idx="0">
                  <c:v>Old</c:v>
                </c:pt>
                <c:pt idx="1">
                  <c:v>Middle age</c:v>
                </c:pt>
                <c:pt idx="2">
                  <c:v>Adolenece</c:v>
                </c:pt>
              </c:strCache>
            </c:strRef>
          </c:cat>
          <c:val>
            <c:numRef>
              <c:f>pivotTable!$C$19:$C$22</c:f>
              <c:numCache>
                <c:formatCode>General</c:formatCode>
                <c:ptCount val="3"/>
                <c:pt idx="0">
                  <c:v>96</c:v>
                </c:pt>
                <c:pt idx="1">
                  <c:v>187</c:v>
                </c:pt>
                <c:pt idx="2">
                  <c:v>24</c:v>
                </c:pt>
              </c:numCache>
            </c:numRef>
          </c:val>
          <c:extLst>
            <c:ext xmlns:c16="http://schemas.microsoft.com/office/drawing/2014/chart" uri="{C3380CC4-5D6E-409C-BE32-E72D297353CC}">
              <c16:uniqueId val="{00000001-C71A-4F30-8037-D93CD5F48AC5}"/>
            </c:ext>
          </c:extLst>
        </c:ser>
        <c:dLbls>
          <c:showLegendKey val="0"/>
          <c:showVal val="0"/>
          <c:showCatName val="0"/>
          <c:showSerName val="0"/>
          <c:showPercent val="0"/>
          <c:showBubbleSize val="0"/>
        </c:dLbls>
        <c:gapWidth val="150"/>
        <c:axId val="779938048"/>
        <c:axId val="779940448"/>
      </c:barChart>
      <c:catAx>
        <c:axId val="77993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40448"/>
        <c:crosses val="autoZero"/>
        <c:auto val="1"/>
        <c:lblAlgn val="ctr"/>
        <c:lblOffset val="100"/>
        <c:noMultiLvlLbl val="0"/>
      </c:catAx>
      <c:valAx>
        <c:axId val="779940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93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alpha val="7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F80ED"/>
          </a:solidFill>
          <a:ln w="19050">
            <a:solidFill>
              <a:schemeClr val="lt1"/>
            </a:solidFill>
          </a:ln>
          <a:effectLst/>
        </c:spPr>
      </c:pivotFmt>
      <c:pivotFmt>
        <c:idx val="7"/>
        <c:spPr>
          <a:solidFill>
            <a:srgbClr val="1C3F88"/>
          </a:solidFill>
          <a:ln w="19050">
            <a:solidFill>
              <a:schemeClr val="lt1"/>
            </a:solidFill>
          </a:ln>
          <a:effectLst/>
        </c:spPr>
      </c:pivotFmt>
      <c:pivotFmt>
        <c:idx val="8"/>
        <c:spPr>
          <a:solidFill>
            <a:schemeClr val="accent1"/>
          </a:solidFill>
          <a:ln w="19050">
            <a:solidFill>
              <a:schemeClr val="lt1"/>
            </a:solidFill>
          </a:ln>
          <a:effectLst/>
        </c:spPr>
      </c:pivotFmt>
    </c:pivotFmts>
    <c:plotArea>
      <c:layout/>
      <c:barChart>
        <c:barDir val="col"/>
        <c:grouping val="clustered"/>
        <c:varyColors val="0"/>
        <c:ser>
          <c:idx val="0"/>
          <c:order val="0"/>
          <c:tx>
            <c:strRef>
              <c:f>pivotTable!$H$22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5915-44F4-9A18-DE3593E4CB43}"/>
              </c:ext>
            </c:extLst>
          </c:dPt>
          <c:dPt>
            <c:idx val="1"/>
            <c:invertIfNegative val="0"/>
            <c:bubble3D val="0"/>
            <c:spPr>
              <a:solidFill>
                <a:srgbClr val="1C3F88"/>
              </a:solidFill>
              <a:ln w="19050">
                <a:solidFill>
                  <a:schemeClr val="lt1"/>
                </a:solidFill>
              </a:ln>
              <a:effectLst/>
            </c:spPr>
            <c:extLst>
              <c:ext xmlns:c16="http://schemas.microsoft.com/office/drawing/2014/chart" uri="{C3380CC4-5D6E-409C-BE32-E72D297353CC}">
                <c16:uniqueId val="{00000003-5915-44F4-9A18-DE3593E4CB43}"/>
              </c:ext>
            </c:extLst>
          </c:dPt>
          <c:dPt>
            <c:idx val="2"/>
            <c:invertIfNegative val="0"/>
            <c:bubble3D val="0"/>
            <c:spPr>
              <a:solidFill>
                <a:srgbClr val="2F80ED"/>
              </a:solidFill>
              <a:ln w="19050">
                <a:solidFill>
                  <a:schemeClr val="lt1"/>
                </a:solidFill>
              </a:ln>
              <a:effectLst/>
            </c:spPr>
            <c:extLst>
              <c:ext xmlns:c16="http://schemas.microsoft.com/office/drawing/2014/chart" uri="{C3380CC4-5D6E-409C-BE32-E72D297353CC}">
                <c16:uniqueId val="{00000005-5915-44F4-9A18-DE3593E4CB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pivotTable!$G$23:$G$26</c:f>
              <c:strCache>
                <c:ptCount val="3"/>
                <c:pt idx="0">
                  <c:v>Pacific</c:v>
                </c:pt>
                <c:pt idx="1">
                  <c:v>North America</c:v>
                </c:pt>
                <c:pt idx="2">
                  <c:v>Europe</c:v>
                </c:pt>
              </c:strCache>
            </c:strRef>
          </c:cat>
          <c:val>
            <c:numRef>
              <c:f>pivotTable!$H$23:$H$26</c:f>
              <c:numCache>
                <c:formatCode>General</c:formatCode>
                <c:ptCount val="3"/>
                <c:pt idx="0">
                  <c:v>192</c:v>
                </c:pt>
                <c:pt idx="1">
                  <c:v>508</c:v>
                </c:pt>
                <c:pt idx="2">
                  <c:v>300</c:v>
                </c:pt>
              </c:numCache>
            </c:numRef>
          </c:val>
          <c:extLst>
            <c:ext xmlns:c16="http://schemas.microsoft.com/office/drawing/2014/chart" uri="{C3380CC4-5D6E-409C-BE32-E72D297353CC}">
              <c16:uniqueId val="{00000006-5915-44F4-9A18-DE3593E4CB43}"/>
            </c:ext>
          </c:extLst>
        </c:ser>
        <c:dLbls>
          <c:dLblPos val="outEnd"/>
          <c:showLegendKey val="0"/>
          <c:showVal val="1"/>
          <c:showCatName val="0"/>
          <c:showSerName val="0"/>
          <c:showPercent val="0"/>
          <c:showBubbleSize val="0"/>
        </c:dLbls>
        <c:gapWidth val="100"/>
        <c:axId val="1064662335"/>
        <c:axId val="964473071"/>
      </c:barChart>
      <c:catAx>
        <c:axId val="1064662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473071"/>
        <c:auto val="1"/>
        <c:lblAlgn val="ctr"/>
        <c:lblOffset val="100"/>
        <c:noMultiLvlLbl val="0"/>
      </c:catAx>
      <c:valAx>
        <c:axId val="9644730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662335"/>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alpha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Purchase Rate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3F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pivotTable!$H$5:$H$6</c:f>
              <c:strCache>
                <c:ptCount val="1"/>
                <c:pt idx="0">
                  <c:v>Yes</c:v>
                </c:pt>
              </c:strCache>
            </c:strRef>
          </c:tx>
          <c:spPr>
            <a:solidFill>
              <a:srgbClr val="2F80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pivotTable!$G$7:$G$9</c:f>
              <c:strCache>
                <c:ptCount val="2"/>
                <c:pt idx="0">
                  <c:v>Female</c:v>
                </c:pt>
                <c:pt idx="1">
                  <c:v>Male</c:v>
                </c:pt>
              </c:strCache>
            </c:strRef>
          </c:cat>
          <c:val>
            <c:numRef>
              <c:f>pivotTable!$H$7:$H$9</c:f>
              <c:numCache>
                <c:formatCode>0.00%</c:formatCode>
                <c:ptCount val="2"/>
                <c:pt idx="0">
                  <c:v>0.4887525562372188</c:v>
                </c:pt>
                <c:pt idx="1">
                  <c:v>0.47358121330724068</c:v>
                </c:pt>
              </c:numCache>
            </c:numRef>
          </c:val>
          <c:extLst>
            <c:ext xmlns:c16="http://schemas.microsoft.com/office/drawing/2014/chart" uri="{C3380CC4-5D6E-409C-BE32-E72D297353CC}">
              <c16:uniqueId val="{00000000-0661-4A28-AAFE-69637A1C4CBF}"/>
            </c:ext>
          </c:extLst>
        </c:ser>
        <c:ser>
          <c:idx val="1"/>
          <c:order val="1"/>
          <c:tx>
            <c:strRef>
              <c:f>pivotTable!$I$5:$I$6</c:f>
              <c:strCache>
                <c:ptCount val="1"/>
                <c:pt idx="0">
                  <c:v>No</c:v>
                </c:pt>
              </c:strCache>
            </c:strRef>
          </c:tx>
          <c:spPr>
            <a:solidFill>
              <a:srgbClr val="1C3F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pivotTable!$G$7:$G$9</c:f>
              <c:strCache>
                <c:ptCount val="2"/>
                <c:pt idx="0">
                  <c:v>Female</c:v>
                </c:pt>
                <c:pt idx="1">
                  <c:v>Male</c:v>
                </c:pt>
              </c:strCache>
            </c:strRef>
          </c:cat>
          <c:val>
            <c:numRef>
              <c:f>pivotTable!$I$7:$I$9</c:f>
              <c:numCache>
                <c:formatCode>0.00%</c:formatCode>
                <c:ptCount val="2"/>
                <c:pt idx="0">
                  <c:v>0.5112474437627812</c:v>
                </c:pt>
                <c:pt idx="1">
                  <c:v>0.52641878669275932</c:v>
                </c:pt>
              </c:numCache>
            </c:numRef>
          </c:val>
          <c:extLst>
            <c:ext xmlns:c16="http://schemas.microsoft.com/office/drawing/2014/chart" uri="{C3380CC4-5D6E-409C-BE32-E72D297353CC}">
              <c16:uniqueId val="{00000001-0661-4A28-AAFE-69637A1C4CBF}"/>
            </c:ext>
          </c:extLst>
        </c:ser>
        <c:dLbls>
          <c:dLblPos val="outEnd"/>
          <c:showLegendKey val="0"/>
          <c:showVal val="1"/>
          <c:showCatName val="0"/>
          <c:showSerName val="0"/>
          <c:showPercent val="0"/>
          <c:showBubbleSize val="0"/>
        </c:dLbls>
        <c:gapWidth val="182"/>
        <c:axId val="1729594015"/>
        <c:axId val="1729595455"/>
      </c:barChart>
      <c:catAx>
        <c:axId val="17295940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29595455"/>
        <c:crosses val="autoZero"/>
        <c:auto val="1"/>
        <c:lblAlgn val="ctr"/>
        <c:lblOffset val="100"/>
        <c:noMultiLvlLbl val="0"/>
      </c:catAx>
      <c:valAx>
        <c:axId val="1729595455"/>
        <c:scaling>
          <c:orientation val="minMax"/>
        </c:scaling>
        <c:delete val="1"/>
        <c:axPos val="b"/>
        <c:numFmt formatCode="0.00%" sourceLinked="1"/>
        <c:majorTickMark val="out"/>
        <c:minorTickMark val="none"/>
        <c:tickLblPos val="nextTo"/>
        <c:crossAx val="1729594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420221</xdr:colOff>
      <xdr:row>46</xdr:row>
      <xdr:rowOff>84043</xdr:rowOff>
    </xdr:to>
    <xdr:sp macro="" textlink="">
      <xdr:nvSpPr>
        <xdr:cNvPr id="15" name="Rectangle 14">
          <a:extLst>
            <a:ext uri="{FF2B5EF4-FFF2-40B4-BE49-F238E27FC236}">
              <a16:creationId xmlns:a16="http://schemas.microsoft.com/office/drawing/2014/main" id="{1841AC82-64D4-EE12-D774-57D18E0FFAEF}"/>
            </a:ext>
          </a:extLst>
        </xdr:cNvPr>
        <xdr:cNvSpPr/>
      </xdr:nvSpPr>
      <xdr:spPr>
        <a:xfrm>
          <a:off x="0" y="0"/>
          <a:ext cx="17415809" cy="888066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84044</xdr:colOff>
      <xdr:row>2</xdr:row>
      <xdr:rowOff>9338</xdr:rowOff>
    </xdr:from>
    <xdr:to>
      <xdr:col>10</xdr:col>
      <xdr:colOff>261471</xdr:colOff>
      <xdr:row>16</xdr:row>
      <xdr:rowOff>74705</xdr:rowOff>
    </xdr:to>
    <xdr:graphicFrame macro="">
      <xdr:nvGraphicFramePr>
        <xdr:cNvPr id="2" name="Chart 1">
          <a:extLst>
            <a:ext uri="{FF2B5EF4-FFF2-40B4-BE49-F238E27FC236}">
              <a16:creationId xmlns:a16="http://schemas.microsoft.com/office/drawing/2014/main" id="{3B532AFD-9753-4CB4-8091-7A19FA9F1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84042</xdr:colOff>
      <xdr:row>16</xdr:row>
      <xdr:rowOff>121397</xdr:rowOff>
    </xdr:from>
    <xdr:to>
      <xdr:col>10</xdr:col>
      <xdr:colOff>270809</xdr:colOff>
      <xdr:row>31</xdr:row>
      <xdr:rowOff>1</xdr:rowOff>
    </xdr:to>
    <xdr:graphicFrame macro="">
      <xdr:nvGraphicFramePr>
        <xdr:cNvPr id="3" name="Chart 2">
          <a:extLst>
            <a:ext uri="{FF2B5EF4-FFF2-40B4-BE49-F238E27FC236}">
              <a16:creationId xmlns:a16="http://schemas.microsoft.com/office/drawing/2014/main" id="{9753E072-2631-42D8-A47D-A5608A9E3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298824</xdr:colOff>
      <xdr:row>2</xdr:row>
      <xdr:rowOff>9340</xdr:rowOff>
    </xdr:from>
    <xdr:to>
      <xdr:col>18</xdr:col>
      <xdr:colOff>289486</xdr:colOff>
      <xdr:row>16</xdr:row>
      <xdr:rowOff>74706</xdr:rowOff>
    </xdr:to>
    <xdr:graphicFrame macro="">
      <xdr:nvGraphicFramePr>
        <xdr:cNvPr id="4" name="Chart 3">
          <a:extLst>
            <a:ext uri="{FF2B5EF4-FFF2-40B4-BE49-F238E27FC236}">
              <a16:creationId xmlns:a16="http://schemas.microsoft.com/office/drawing/2014/main" id="{CE34C070-4675-4B11-901E-C8AD403EF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46691</xdr:colOff>
      <xdr:row>2</xdr:row>
      <xdr:rowOff>15878</xdr:rowOff>
    </xdr:from>
    <xdr:to>
      <xdr:col>2</xdr:col>
      <xdr:colOff>46691</xdr:colOff>
      <xdr:row>5</xdr:row>
      <xdr:rowOff>65368</xdr:rowOff>
    </xdr:to>
    <mc:AlternateContent xmlns:mc="http://schemas.openxmlformats.org/markup-compatibility/2006" xmlns:a14="http://schemas.microsoft.com/office/drawing/2010/main">
      <mc:Choice Requires="a14">
        <xdr:graphicFrame macro="">
          <xdr:nvGraphicFramePr>
            <xdr:cNvPr id="5" name="Marriedarital Singletatus">
              <a:extLst>
                <a:ext uri="{FF2B5EF4-FFF2-40B4-BE49-F238E27FC236}">
                  <a16:creationId xmlns:a16="http://schemas.microsoft.com/office/drawing/2014/main" id="{9DE98DA6-19EC-ECFC-25AC-099BABABE300}"/>
                </a:ext>
              </a:extLst>
            </xdr:cNvPr>
            <xdr:cNvGraphicFramePr/>
          </xdr:nvGraphicFramePr>
          <xdr:xfrm>
            <a:off x="0" y="0"/>
            <a:ext cx="0" cy="0"/>
          </xdr:xfrm>
          <a:graphic>
            <a:graphicData uri="http://schemas.microsoft.com/office/drawing/2010/slicer">
              <sle:slicer xmlns:sle="http://schemas.microsoft.com/office/drawing/2010/slicer" name="Marriedarital Singletatus"/>
            </a:graphicData>
          </a:graphic>
        </xdr:graphicFrame>
      </mc:Choice>
      <mc:Fallback xmlns="">
        <xdr:sp macro="" textlink="">
          <xdr:nvSpPr>
            <xdr:cNvPr id="0" name=""/>
            <xdr:cNvSpPr>
              <a:spLocks noTextEdit="1"/>
            </xdr:cNvSpPr>
          </xdr:nvSpPr>
          <xdr:spPr>
            <a:xfrm>
              <a:off x="46691" y="389407"/>
              <a:ext cx="1213971" cy="815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57346</xdr:colOff>
      <xdr:row>12</xdr:row>
      <xdr:rowOff>102720</xdr:rowOff>
    </xdr:from>
    <xdr:to>
      <xdr:col>2</xdr:col>
      <xdr:colOff>46691</xdr:colOff>
      <xdr:row>22</xdr:row>
      <xdr:rowOff>28013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A738DE5B-2ACB-1919-9A05-D578487635F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7346" y="2549338"/>
              <a:ext cx="1203316" cy="179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45517</xdr:colOff>
      <xdr:row>5</xdr:row>
      <xdr:rowOff>90580</xdr:rowOff>
    </xdr:from>
    <xdr:to>
      <xdr:col>2</xdr:col>
      <xdr:colOff>37353</xdr:colOff>
      <xdr:row>12</xdr:row>
      <xdr:rowOff>74705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75A19E7-4366-F182-F463-5DB8DAA0CA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517" y="1229845"/>
              <a:ext cx="1205807" cy="12914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298824</xdr:colOff>
      <xdr:row>16</xdr:row>
      <xdr:rowOff>119215</xdr:rowOff>
    </xdr:from>
    <xdr:to>
      <xdr:col>18</xdr:col>
      <xdr:colOff>270809</xdr:colOff>
      <xdr:row>31</xdr:row>
      <xdr:rowOff>3154</xdr:rowOff>
    </xdr:to>
    <xdr:graphicFrame macro="">
      <xdr:nvGraphicFramePr>
        <xdr:cNvPr id="9" name="Chart 8">
          <a:extLst>
            <a:ext uri="{FF2B5EF4-FFF2-40B4-BE49-F238E27FC236}">
              <a16:creationId xmlns:a16="http://schemas.microsoft.com/office/drawing/2014/main" id="{95411AA6-AC7C-436C-A239-8D9DD16715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404091</xdr:colOff>
      <xdr:row>2</xdr:row>
      <xdr:rowOff>16494</xdr:rowOff>
    </xdr:from>
    <xdr:to>
      <xdr:col>26</xdr:col>
      <xdr:colOff>457573</xdr:colOff>
      <xdr:row>31</xdr:row>
      <xdr:rowOff>0</xdr:rowOff>
    </xdr:to>
    <xdr:graphicFrame macro="">
      <xdr:nvGraphicFramePr>
        <xdr:cNvPr id="10" name="Chart 9">
          <a:extLst>
            <a:ext uri="{FF2B5EF4-FFF2-40B4-BE49-F238E27FC236}">
              <a16:creationId xmlns:a16="http://schemas.microsoft.com/office/drawing/2014/main" id="{B6E63AE6-2FDD-4271-8F89-6A5399CCF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18677</xdr:colOff>
      <xdr:row>0</xdr:row>
      <xdr:rowOff>0</xdr:rowOff>
    </xdr:from>
    <xdr:ext cx="11196544" cy="364191"/>
    <xdr:sp macro="" textlink="">
      <xdr:nvSpPr>
        <xdr:cNvPr id="14" name="TextBox 13">
          <a:extLst>
            <a:ext uri="{FF2B5EF4-FFF2-40B4-BE49-F238E27FC236}">
              <a16:creationId xmlns:a16="http://schemas.microsoft.com/office/drawing/2014/main" id="{EEBA975F-40FF-B8FD-0EF2-7EADC33AF688}"/>
            </a:ext>
          </a:extLst>
        </xdr:cNvPr>
        <xdr:cNvSpPr txBox="1"/>
      </xdr:nvSpPr>
      <xdr:spPr>
        <a:xfrm>
          <a:off x="18677" y="0"/>
          <a:ext cx="11196544" cy="3641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i="1"/>
            <a:t>                                          Bike Sales</a:t>
          </a:r>
          <a:r>
            <a:rPr lang="en-US" sz="2400" b="1" i="1" baseline="0"/>
            <a:t> </a:t>
          </a:r>
          <a:r>
            <a:rPr lang="en-US" sz="2400" b="1" i="1"/>
            <a:t>Analysis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8.498673495371" createdVersion="8" refreshedVersion="8" minRefreshableVersion="3" recordCount="1000" xr:uid="{16538EEC-F4BA-48D0-BA26-DBCD71A85A81}">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kets" numFmtId="0">
      <sharedItems count="4">
        <s v="Middle age"/>
        <s v="Old"/>
        <s v="Adolenece"/>
        <s v="Middle" u="1"/>
      </sharedItems>
    </cacheField>
    <cacheField name="Purchased Bike" numFmtId="0">
      <sharedItems count="2">
        <s v="No"/>
        <s v="Yes"/>
      </sharedItems>
    </cacheField>
  </cacheFields>
  <extLst>
    <ext xmlns:x14="http://schemas.microsoft.com/office/spreadsheetml/2009/9/main" uri="{725AE2AE-9491-48be-B2B4-4EB974FC3084}">
      <x14:pivotCacheDefinition pivotCacheId="166129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637738-D4AD-452C-91E5-F54E0BDA434A}"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7:D22"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m="1" x="3"/>
        <item x="1"/>
        <item x="0"/>
        <item x="2"/>
        <item t="default"/>
      </items>
    </pivotField>
    <pivotField axis="axisCol" dataField="1" showAll="0" sortType="descending">
      <items count="3">
        <item x="1"/>
        <item x="0"/>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4" format="4" series="1">
      <pivotArea type="data" outline="0" fieldPosition="0">
        <references count="2">
          <reference field="4294967294" count="1" selected="0">
            <x v="0"/>
          </reference>
          <reference field="13" count="1" selected="0">
            <x v="1"/>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1"/>
          </reference>
        </references>
      </pivotArea>
    </chartFormat>
    <chartFormat chart="5" format="7" series="1">
      <pivotArea type="data" outline="0" fieldPosition="0">
        <references count="2">
          <reference field="4294967294" count="1" selected="0">
            <x v="0"/>
          </reference>
          <reference field="13" count="1" selected="0">
            <x v="0"/>
          </reference>
        </references>
      </pivotArea>
    </chartFormat>
    <chartFormat chart="4" format="6">
      <pivotArea type="data" outline="0" fieldPosition="0">
        <references count="3">
          <reference field="4294967294" count="1" selected="0">
            <x v="0"/>
          </reference>
          <reference field="12" count="1" selected="0">
            <x v="2"/>
          </reference>
          <reference field="13" count="1" selected="0">
            <x v="0"/>
          </reference>
        </references>
      </pivotArea>
    </chartFormat>
    <chartFormat chart="4" format="7">
      <pivotArea type="data" outline="0" fieldPosition="0">
        <references count="3">
          <reference field="4294967294" count="1" selected="0">
            <x v="0"/>
          </reference>
          <reference field="12" count="1" selected="0">
            <x v="3"/>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3870B0-29FB-4AC9-8C04-83DBCB7C9259}"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5:J9" firstHeaderRow="1" firstDataRow="2" firstDataCol="1"/>
  <pivotFields count="14">
    <pivotField showAll="0"/>
    <pivotField showAll="0"/>
    <pivotField axis="axisRow" showAll="0">
      <items count="3">
        <item x="0"/>
        <item x="1"/>
        <item t="default"/>
      </items>
    </pivotField>
    <pivotField numFmtId="165" showAll="0"/>
    <pivotField showAll="0"/>
    <pivotField showAll="0"/>
    <pivotField showAll="0"/>
    <pivotField showAll="0"/>
    <pivotField showAll="0"/>
    <pivotField showAll="0"/>
    <pivotField showAll="0"/>
    <pivotField showAll="0"/>
    <pivotField showAll="0"/>
    <pivotField axis="axisCol" dataField="1" showAll="0" sortType="descending">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Count of Purchased Bike" fld="13" subtotal="count" showDataAs="percentOfRow" baseField="0" baseItem="0" numFmtId="10"/>
  </dataFields>
  <chartFormats count="4">
    <chartFormat chart="2" format="4" series="1">
      <pivotArea type="data" outline="0" fieldPosition="0">
        <references count="2">
          <reference field="4294967294" count="1" selected="0">
            <x v="0"/>
          </reference>
          <reference field="13" count="1" selected="0">
            <x v="1"/>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 chart="1" format="2" series="1">
      <pivotArea type="data" outline="0" fieldPosition="0">
        <references count="2">
          <reference field="4294967294" count="1" selected="0">
            <x v="0"/>
          </reference>
          <reference field="13" count="1" selected="0">
            <x v="1"/>
          </reference>
        </references>
      </pivotArea>
    </chartFormat>
    <chartFormat chart="1" format="3"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34173F-72DA-4ABC-BE88-F43BEC39B85C}"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D15"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sortType="descending">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2" format="4" series="1">
      <pivotArea type="data" outline="0" fieldPosition="0">
        <references count="2">
          <reference field="4294967294" count="1" selected="0">
            <x v="0"/>
          </reference>
          <reference field="13" count="1" selected="0">
            <x v="1"/>
          </reference>
        </references>
      </pivotArea>
    </chartFormat>
    <chartFormat chart="2" format="5"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F73B65-00DC-4B41-9F89-8243A73D370B}"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sortType="descending">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5"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F7C0E1-1E46-4837-849E-FA8EF3631FC5}"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2:G117" firstHeaderRow="1" firstDataRow="3"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dataFiel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2">
    <field x="13"/>
    <field x="-2"/>
  </colFields>
  <colItems count="6">
    <i>
      <x/>
      <x/>
    </i>
    <i r="1" i="1">
      <x v="1"/>
    </i>
    <i>
      <x v="1"/>
      <x/>
    </i>
    <i r="1" i="1">
      <x v="1"/>
    </i>
    <i t="grand">
      <x/>
    </i>
    <i t="grand" i="1">
      <x/>
    </i>
  </colItems>
  <dataFields count="2">
    <dataField name="Count of Purchased Bike" fld="13" subtotal="count" baseField="0" baseItem="0"/>
    <dataField name="Sum of Age" fld="11"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B5D326-111C-455F-B92D-3C83DCA16B25}" name="PivotTable8"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22:H26" firstHeaderRow="1" firstDataRow="1" firstDataCol="1"/>
  <pivotFields count="14">
    <pivotField showAll="0"/>
    <pivotField showAll="0"/>
    <pivotField showAll="0"/>
    <pivotField numFmtId="165" showAll="0"/>
    <pivotField showAll="0"/>
    <pivotField showAll="0"/>
    <pivotField showAll="0"/>
    <pivotField showAll="0"/>
    <pivotField showAll="0"/>
    <pivotField showAll="0"/>
    <pivotField axis="axisRow" showAll="0" sortType="descending">
      <items count="4">
        <item x="1"/>
        <item x="2"/>
        <item x="0"/>
        <item t="default"/>
      </items>
    </pivotField>
    <pivotField showAll="0"/>
    <pivotField showAll="0"/>
    <pivotField dataField="1" showAll="0"/>
  </pivotFields>
  <rowFields count="1">
    <field x="10"/>
  </rowFields>
  <rowItems count="4">
    <i>
      <x/>
    </i>
    <i>
      <x v="1"/>
    </i>
    <i>
      <x v="2"/>
    </i>
    <i t="grand">
      <x/>
    </i>
  </rowItems>
  <colItems count="1">
    <i/>
  </colItems>
  <dataFields count="1">
    <dataField name="Count of Purchased Bike" fld="13"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2"/>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85D3A0-526C-48CB-A62A-AB6C5E55BD19}"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M19" firstHeaderRow="1" firstDataRow="2" firstDataCol="1"/>
  <pivotFields count="14">
    <pivotField showAll="0"/>
    <pivotField showAll="0"/>
    <pivotField showAll="0"/>
    <pivotField numFmtId="165" showAll="0"/>
    <pivotField showAll="0"/>
    <pivotField axis="axisRow" showAll="0">
      <items count="6">
        <item x="0"/>
        <item x="4"/>
        <item x="2"/>
        <item x="1"/>
        <item x="3"/>
        <item t="default"/>
      </items>
    </pivotField>
    <pivotField axis="axisCol" showAll="0" sortType="descending">
      <items count="6">
        <item x="0"/>
        <item x="2"/>
        <item x="3"/>
        <item x="4"/>
        <item x="1"/>
        <item t="default"/>
      </items>
    </pivotField>
    <pivotField showAll="0"/>
    <pivotField showAll="0"/>
    <pivotField showAll="0"/>
    <pivotField showAll="0"/>
    <pivotField showAll="0"/>
    <pivotField showAll="0"/>
    <pivotField dataField="1" showAll="0"/>
  </pivotFields>
  <rowFields count="1">
    <field x="5"/>
  </rowFields>
  <rowItems count="6">
    <i>
      <x/>
    </i>
    <i>
      <x v="1"/>
    </i>
    <i>
      <x v="2"/>
    </i>
    <i>
      <x v="3"/>
    </i>
    <i>
      <x v="4"/>
    </i>
    <i t="grand">
      <x/>
    </i>
  </rowItems>
  <colFields count="1">
    <field x="6"/>
  </colFields>
  <colItems count="6">
    <i>
      <x/>
    </i>
    <i>
      <x v="1"/>
    </i>
    <i>
      <x v="2"/>
    </i>
    <i>
      <x v="3"/>
    </i>
    <i>
      <x v="4"/>
    </i>
    <i t="grand">
      <x/>
    </i>
  </colItems>
  <dataFields count="1">
    <dataField name="Count of Purchased Bike" fld="13"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 xr10:uid="{EAE72203-5E99-4387-8CE2-93600ADA4016}" sourceName="Marriedarital Singletatus">
  <pivotTables>
    <pivotTable tabId="3" name="PivotTable1"/>
    <pivotTable tabId="3" name="PivotTable2"/>
    <pivotTable tabId="3" name="PivotTable3"/>
    <pivotTable tabId="3" name="PivotTable4"/>
  </pivotTables>
  <data>
    <tabular pivotCacheId="16612936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D7D83BC-C8F0-42AA-83B6-07DAF128EC76}" sourceName="Education">
  <pivotTables>
    <pivotTable tabId="3" name="PivotTable3"/>
    <pivotTable tabId="3" name="PivotTable1"/>
    <pivotTable tabId="3" name="PivotTable2"/>
    <pivotTable tabId="3" name="PivotTable4"/>
  </pivotTables>
  <data>
    <tabular pivotCacheId="16612936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B4FEC-9B3A-4631-B2F3-FB2964B35F78}" sourceName="Region">
  <pivotTables>
    <pivotTable tabId="3" name="PivotTable3"/>
    <pivotTable tabId="3" name="PivotTable1"/>
    <pivotTable tabId="3" name="PivotTable2"/>
    <pivotTable tabId="3" name="PivotTable4"/>
  </pivotTables>
  <data>
    <tabular pivotCacheId="1661293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 xr10:uid="{347DC608-7BD4-4774-951D-3147B7E036BA}" cache="Slicer_Marriedarital_Singletatus" caption="Marriedarital Singletatus" rowHeight="241300"/>
  <slicer name="Education" xr10:uid="{B5FF22B0-8C26-4078-8A3D-C4B829234C88}" cache="Slicer_Education" caption="Education" rowHeight="241300"/>
  <slicer name="Region" xr10:uid="{CB0B6BD3-C654-4D6A-A8DC-2BE0A1D8F26E}"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92" workbookViewId="0"/>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27"/>
  <sheetViews>
    <sheetView topLeftCell="C983" workbookViewId="0">
      <selection activeCell="M33" sqref="M33"/>
    </sheetView>
  </sheetViews>
  <sheetFormatPr defaultColWidth="11.90625" defaultRowHeight="14.5" x14ac:dyDescent="0.35"/>
  <cols>
    <col min="4" max="4" width="11.90625" style="3"/>
    <col min="6" max="6" width="16.54296875" customWidth="1"/>
    <col min="7" max="7" width="14.08984375" customWidth="1"/>
    <col min="10" max="10" width="17.36328125" customWidth="1"/>
    <col min="14" max="14" width="15.453125" customWidth="1"/>
  </cols>
  <sheetData>
    <row r="1" spans="1:14" x14ac:dyDescent="0.35">
      <c r="A1" t="s">
        <v>0</v>
      </c>
      <c r="B1" t="s">
        <v>38</v>
      </c>
      <c r="C1" t="s">
        <v>2</v>
      </c>
      <c r="D1" s="3" t="s">
        <v>3</v>
      </c>
      <c r="E1" t="s">
        <v>4</v>
      </c>
      <c r="F1" t="s">
        <v>5</v>
      </c>
      <c r="G1" t="s">
        <v>6</v>
      </c>
      <c r="H1" t="s">
        <v>7</v>
      </c>
      <c r="I1" t="s">
        <v>8</v>
      </c>
      <c r="J1" t="s">
        <v>9</v>
      </c>
      <c r="K1" t="s">
        <v>10</v>
      </c>
      <c r="L1" t="s">
        <v>11</v>
      </c>
      <c r="M1" t="s">
        <v>41</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age",IF(L2&lt;31,"Adolenece","Invalid")))</f>
        <v>Middle age</v>
      </c>
      <c r="N2" t="s">
        <v>18</v>
      </c>
    </row>
    <row r="3" spans="1:14" x14ac:dyDescent="0.35">
      <c r="A3">
        <v>24107</v>
      </c>
      <c r="B3" t="s">
        <v>36</v>
      </c>
      <c r="C3" t="s">
        <v>40</v>
      </c>
      <c r="D3" s="3">
        <v>30000</v>
      </c>
      <c r="E3">
        <v>3</v>
      </c>
      <c r="F3" t="s">
        <v>19</v>
      </c>
      <c r="G3" t="s">
        <v>20</v>
      </c>
      <c r="H3" t="s">
        <v>15</v>
      </c>
      <c r="I3">
        <v>1</v>
      </c>
      <c r="J3" t="s">
        <v>16</v>
      </c>
      <c r="K3" t="s">
        <v>17</v>
      </c>
      <c r="L3">
        <v>43</v>
      </c>
      <c r="M3" t="str">
        <f t="shared" ref="M3:M66" si="0">IF(L3&gt;54,"Old",IF(L3&gt;=31,"Middle age",IF(L3&lt;31,"Adolenece","Invalid")))</f>
        <v>Middle age</v>
      </c>
      <c r="N3" t="s">
        <v>18</v>
      </c>
    </row>
    <row r="4" spans="1:14" x14ac:dyDescent="0.35">
      <c r="A4">
        <v>14177</v>
      </c>
      <c r="B4" t="s">
        <v>36</v>
      </c>
      <c r="C4" t="s">
        <v>40</v>
      </c>
      <c r="D4" s="3">
        <v>80000</v>
      </c>
      <c r="E4">
        <v>5</v>
      </c>
      <c r="F4" t="s">
        <v>19</v>
      </c>
      <c r="G4" t="s">
        <v>21</v>
      </c>
      <c r="H4" t="s">
        <v>18</v>
      </c>
      <c r="I4">
        <v>2</v>
      </c>
      <c r="J4" t="s">
        <v>22</v>
      </c>
      <c r="K4" t="s">
        <v>17</v>
      </c>
      <c r="L4">
        <v>60</v>
      </c>
      <c r="M4" t="str">
        <f t="shared" si="0"/>
        <v>Old</v>
      </c>
      <c r="N4" t="s">
        <v>18</v>
      </c>
    </row>
    <row r="5" spans="1:14" x14ac:dyDescent="0.35">
      <c r="A5">
        <v>24381</v>
      </c>
      <c r="B5" t="s">
        <v>37</v>
      </c>
      <c r="C5" t="s">
        <v>40</v>
      </c>
      <c r="D5" s="3">
        <v>70000</v>
      </c>
      <c r="E5">
        <v>0</v>
      </c>
      <c r="F5" t="s">
        <v>13</v>
      </c>
      <c r="G5" t="s">
        <v>21</v>
      </c>
      <c r="H5" t="s">
        <v>15</v>
      </c>
      <c r="I5">
        <v>1</v>
      </c>
      <c r="J5" t="s">
        <v>23</v>
      </c>
      <c r="K5" t="s">
        <v>24</v>
      </c>
      <c r="L5">
        <v>41</v>
      </c>
      <c r="M5" t="str">
        <f t="shared" si="0"/>
        <v>Middle age</v>
      </c>
      <c r="N5" t="s">
        <v>15</v>
      </c>
    </row>
    <row r="6" spans="1:14" x14ac:dyDescent="0.35">
      <c r="A6">
        <v>25597</v>
      </c>
      <c r="B6" t="s">
        <v>37</v>
      </c>
      <c r="C6" t="s">
        <v>40</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40</v>
      </c>
      <c r="D8" s="3">
        <v>160000</v>
      </c>
      <c r="E8">
        <v>2</v>
      </c>
      <c r="F8" t="s">
        <v>27</v>
      </c>
      <c r="G8" t="s">
        <v>28</v>
      </c>
      <c r="H8" t="s">
        <v>15</v>
      </c>
      <c r="I8">
        <v>4</v>
      </c>
      <c r="J8" t="s">
        <v>16</v>
      </c>
      <c r="K8" t="s">
        <v>24</v>
      </c>
      <c r="L8">
        <v>33</v>
      </c>
      <c r="M8" t="str">
        <f t="shared" si="0"/>
        <v>Middle age</v>
      </c>
      <c r="N8" t="s">
        <v>15</v>
      </c>
    </row>
    <row r="9" spans="1:14" x14ac:dyDescent="0.35">
      <c r="A9">
        <v>19364</v>
      </c>
      <c r="B9" t="s">
        <v>36</v>
      </c>
      <c r="C9" t="s">
        <v>40</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40</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40</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5">
      <c r="A14">
        <v>11434</v>
      </c>
      <c r="B14" t="s">
        <v>36</v>
      </c>
      <c r="C14" t="s">
        <v>40</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40</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40</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40</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40</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40</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5">
      <c r="A24">
        <v>19193</v>
      </c>
      <c r="B24" t="s">
        <v>37</v>
      </c>
      <c r="C24" t="s">
        <v>40</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40</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40</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40</v>
      </c>
      <c r="D28" s="3">
        <v>30000</v>
      </c>
      <c r="E28">
        <v>0</v>
      </c>
      <c r="F28" t="s">
        <v>19</v>
      </c>
      <c r="G28" t="s">
        <v>20</v>
      </c>
      <c r="H28" t="s">
        <v>18</v>
      </c>
      <c r="I28">
        <v>1</v>
      </c>
      <c r="J28" t="s">
        <v>16</v>
      </c>
      <c r="K28" t="s">
        <v>17</v>
      </c>
      <c r="L28">
        <v>29</v>
      </c>
      <c r="M28" t="str">
        <f t="shared" si="0"/>
        <v>Adolenece</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40</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40</v>
      </c>
      <c r="D33" s="3">
        <v>10000</v>
      </c>
      <c r="E33">
        <v>0</v>
      </c>
      <c r="F33" t="s">
        <v>19</v>
      </c>
      <c r="G33" t="s">
        <v>25</v>
      </c>
      <c r="H33" t="s">
        <v>18</v>
      </c>
      <c r="I33">
        <v>1</v>
      </c>
      <c r="J33" t="s">
        <v>16</v>
      </c>
      <c r="K33" t="s">
        <v>24</v>
      </c>
      <c r="L33">
        <v>26</v>
      </c>
      <c r="M33" t="str">
        <f t="shared" si="0"/>
        <v>Adolenece</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40</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40</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Adolenece</v>
      </c>
      <c r="N39" t="s">
        <v>18</v>
      </c>
    </row>
    <row r="40" spans="1:14" x14ac:dyDescent="0.35">
      <c r="A40">
        <v>26863</v>
      </c>
      <c r="B40" t="s">
        <v>37</v>
      </c>
      <c r="C40" t="s">
        <v>40</v>
      </c>
      <c r="D40" s="3">
        <v>20000</v>
      </c>
      <c r="E40">
        <v>0</v>
      </c>
      <c r="F40" t="s">
        <v>27</v>
      </c>
      <c r="G40" t="s">
        <v>25</v>
      </c>
      <c r="H40" t="s">
        <v>18</v>
      </c>
      <c r="I40">
        <v>1</v>
      </c>
      <c r="J40" t="s">
        <v>22</v>
      </c>
      <c r="K40" t="s">
        <v>17</v>
      </c>
      <c r="L40">
        <v>28</v>
      </c>
      <c r="M40" t="str">
        <f t="shared" si="0"/>
        <v>Adolenece</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40</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40</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Adolenece</v>
      </c>
      <c r="N52" t="s">
        <v>18</v>
      </c>
    </row>
    <row r="53" spans="1:14" x14ac:dyDescent="0.35">
      <c r="A53">
        <v>20619</v>
      </c>
      <c r="B53" t="s">
        <v>37</v>
      </c>
      <c r="C53" t="s">
        <v>40</v>
      </c>
      <c r="D53" s="3">
        <v>80000</v>
      </c>
      <c r="E53">
        <v>0</v>
      </c>
      <c r="F53" t="s">
        <v>13</v>
      </c>
      <c r="G53" t="s">
        <v>21</v>
      </c>
      <c r="H53" t="s">
        <v>18</v>
      </c>
      <c r="I53">
        <v>4</v>
      </c>
      <c r="J53" t="s">
        <v>47</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40</v>
      </c>
      <c r="D57" s="3">
        <v>80000</v>
      </c>
      <c r="E57">
        <v>4</v>
      </c>
      <c r="F57" t="s">
        <v>27</v>
      </c>
      <c r="G57" t="s">
        <v>21</v>
      </c>
      <c r="H57" t="s">
        <v>15</v>
      </c>
      <c r="I57">
        <v>2</v>
      </c>
      <c r="J57" t="s">
        <v>47</v>
      </c>
      <c r="K57" t="s">
        <v>17</v>
      </c>
      <c r="L57">
        <v>54</v>
      </c>
      <c r="M57" t="str">
        <f t="shared" si="0"/>
        <v>Middle age</v>
      </c>
      <c r="N57" t="s">
        <v>18</v>
      </c>
    </row>
    <row r="58" spans="1:14" x14ac:dyDescent="0.35">
      <c r="A58">
        <v>12808</v>
      </c>
      <c r="B58" t="s">
        <v>36</v>
      </c>
      <c r="C58" t="s">
        <v>40</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40</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40</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40</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40</v>
      </c>
      <c r="D65" s="3">
        <v>60000</v>
      </c>
      <c r="E65">
        <v>4</v>
      </c>
      <c r="F65" t="s">
        <v>13</v>
      </c>
      <c r="G65" t="s">
        <v>21</v>
      </c>
      <c r="H65" t="s">
        <v>15</v>
      </c>
      <c r="I65">
        <v>3</v>
      </c>
      <c r="J65" t="s">
        <v>47</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40</v>
      </c>
      <c r="D67" s="3">
        <v>30000</v>
      </c>
      <c r="E67">
        <v>2</v>
      </c>
      <c r="F67" t="s">
        <v>19</v>
      </c>
      <c r="G67" t="s">
        <v>20</v>
      </c>
      <c r="H67" t="s">
        <v>15</v>
      </c>
      <c r="I67">
        <v>2</v>
      </c>
      <c r="J67" t="s">
        <v>23</v>
      </c>
      <c r="K67" t="s">
        <v>24</v>
      </c>
      <c r="L67">
        <v>68</v>
      </c>
      <c r="M67" t="str">
        <f t="shared" ref="M67:M130" si="1">IF(L67&gt;54,"Old",IF(L67&gt;=31,"Middle age",IF(L67&lt;31,"Adolenece","Invalid")))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40</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Adolenece</v>
      </c>
      <c r="N71" t="s">
        <v>18</v>
      </c>
    </row>
    <row r="72" spans="1:14" x14ac:dyDescent="0.35">
      <c r="A72">
        <v>14238</v>
      </c>
      <c r="B72" t="s">
        <v>36</v>
      </c>
      <c r="C72" t="s">
        <v>40</v>
      </c>
      <c r="D72" s="3">
        <v>120000</v>
      </c>
      <c r="E72">
        <v>0</v>
      </c>
      <c r="F72" t="s">
        <v>29</v>
      </c>
      <c r="G72" t="s">
        <v>21</v>
      </c>
      <c r="H72" t="s">
        <v>15</v>
      </c>
      <c r="I72">
        <v>4</v>
      </c>
      <c r="J72" t="s">
        <v>47</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Adolenece</v>
      </c>
      <c r="N78" t="s">
        <v>18</v>
      </c>
    </row>
    <row r="79" spans="1:14" x14ac:dyDescent="0.35">
      <c r="A79">
        <v>27969</v>
      </c>
      <c r="B79" t="s">
        <v>36</v>
      </c>
      <c r="C79" t="s">
        <v>40</v>
      </c>
      <c r="D79" s="3">
        <v>80000</v>
      </c>
      <c r="E79">
        <v>0</v>
      </c>
      <c r="F79" t="s">
        <v>13</v>
      </c>
      <c r="G79" t="s">
        <v>21</v>
      </c>
      <c r="H79" t="s">
        <v>15</v>
      </c>
      <c r="I79">
        <v>2</v>
      </c>
      <c r="J79" t="s">
        <v>47</v>
      </c>
      <c r="K79" t="s">
        <v>24</v>
      </c>
      <c r="L79">
        <v>29</v>
      </c>
      <c r="M79" t="str">
        <f t="shared" si="1"/>
        <v>Adolenece</v>
      </c>
      <c r="N79" t="s">
        <v>15</v>
      </c>
    </row>
    <row r="80" spans="1:14" x14ac:dyDescent="0.35">
      <c r="A80">
        <v>15752</v>
      </c>
      <c r="B80" t="s">
        <v>36</v>
      </c>
      <c r="C80" t="s">
        <v>40</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40</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40</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40</v>
      </c>
      <c r="D85" s="3">
        <v>20000</v>
      </c>
      <c r="E85">
        <v>0</v>
      </c>
      <c r="F85" t="s">
        <v>27</v>
      </c>
      <c r="G85" t="s">
        <v>25</v>
      </c>
      <c r="H85" t="s">
        <v>18</v>
      </c>
      <c r="I85">
        <v>1</v>
      </c>
      <c r="J85" t="s">
        <v>22</v>
      </c>
      <c r="K85" t="s">
        <v>17</v>
      </c>
      <c r="L85">
        <v>29</v>
      </c>
      <c r="M85" t="str">
        <f t="shared" si="1"/>
        <v>Adolenece</v>
      </c>
      <c r="N85" t="s">
        <v>18</v>
      </c>
    </row>
    <row r="86" spans="1:14" x14ac:dyDescent="0.35">
      <c r="A86">
        <v>24485</v>
      </c>
      <c r="B86" t="s">
        <v>37</v>
      </c>
      <c r="C86" t="s">
        <v>40</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40</v>
      </c>
      <c r="D87" s="3">
        <v>10000</v>
      </c>
      <c r="E87">
        <v>0</v>
      </c>
      <c r="F87" t="s">
        <v>19</v>
      </c>
      <c r="G87" t="s">
        <v>25</v>
      </c>
      <c r="H87" t="s">
        <v>15</v>
      </c>
      <c r="I87">
        <v>1</v>
      </c>
      <c r="J87" t="s">
        <v>26</v>
      </c>
      <c r="K87" t="s">
        <v>24</v>
      </c>
      <c r="L87">
        <v>26</v>
      </c>
      <c r="M87" t="str">
        <f t="shared" si="1"/>
        <v>Adolenece</v>
      </c>
      <c r="N87" t="s">
        <v>15</v>
      </c>
    </row>
    <row r="88" spans="1:14" x14ac:dyDescent="0.35">
      <c r="A88">
        <v>17191</v>
      </c>
      <c r="B88" t="s">
        <v>37</v>
      </c>
      <c r="C88" t="s">
        <v>40</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40</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40</v>
      </c>
      <c r="D90" s="3">
        <v>30000</v>
      </c>
      <c r="E90">
        <v>0</v>
      </c>
      <c r="F90" t="s">
        <v>19</v>
      </c>
      <c r="G90" t="s">
        <v>20</v>
      </c>
      <c r="H90" t="s">
        <v>18</v>
      </c>
      <c r="I90">
        <v>1</v>
      </c>
      <c r="J90" t="s">
        <v>22</v>
      </c>
      <c r="K90" t="s">
        <v>17</v>
      </c>
      <c r="L90">
        <v>29</v>
      </c>
      <c r="M90" t="str">
        <f t="shared" si="1"/>
        <v>Adolenece</v>
      </c>
      <c r="N90" t="s">
        <v>18</v>
      </c>
    </row>
    <row r="91" spans="1:14" x14ac:dyDescent="0.35">
      <c r="A91">
        <v>25458</v>
      </c>
      <c r="B91" t="s">
        <v>36</v>
      </c>
      <c r="C91" t="s">
        <v>40</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Adolenece</v>
      </c>
      <c r="N92" t="s">
        <v>15</v>
      </c>
    </row>
    <row r="93" spans="1:14" x14ac:dyDescent="0.35">
      <c r="A93">
        <v>28436</v>
      </c>
      <c r="B93" t="s">
        <v>37</v>
      </c>
      <c r="C93" t="s">
        <v>40</v>
      </c>
      <c r="D93" s="3">
        <v>30000</v>
      </c>
      <c r="E93">
        <v>0</v>
      </c>
      <c r="F93" t="s">
        <v>19</v>
      </c>
      <c r="G93" t="s">
        <v>20</v>
      </c>
      <c r="H93" t="s">
        <v>18</v>
      </c>
      <c r="I93">
        <v>1</v>
      </c>
      <c r="J93" t="s">
        <v>16</v>
      </c>
      <c r="K93" t="s">
        <v>17</v>
      </c>
      <c r="L93">
        <v>30</v>
      </c>
      <c r="M93" t="str">
        <f t="shared" si="1"/>
        <v>Adolenece</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5">
      <c r="A98">
        <v>12507</v>
      </c>
      <c r="B98" t="s">
        <v>36</v>
      </c>
      <c r="C98" t="s">
        <v>40</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40</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40</v>
      </c>
      <c r="D100" s="3">
        <v>40000</v>
      </c>
      <c r="E100">
        <v>0</v>
      </c>
      <c r="F100" t="s">
        <v>31</v>
      </c>
      <c r="G100" t="s">
        <v>20</v>
      </c>
      <c r="H100" t="s">
        <v>15</v>
      </c>
      <c r="I100">
        <v>0</v>
      </c>
      <c r="J100" t="s">
        <v>16</v>
      </c>
      <c r="K100" t="s">
        <v>17</v>
      </c>
      <c r="L100">
        <v>25</v>
      </c>
      <c r="M100" t="str">
        <f t="shared" si="1"/>
        <v>Adolenece</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40</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40</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40</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40</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Adolenece</v>
      </c>
      <c r="N107" t="s">
        <v>18</v>
      </c>
    </row>
    <row r="108" spans="1:14" x14ac:dyDescent="0.35">
      <c r="A108">
        <v>20430</v>
      </c>
      <c r="B108" t="s">
        <v>36</v>
      </c>
      <c r="C108" t="s">
        <v>40</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40</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40</v>
      </c>
      <c r="D116" s="3">
        <v>20000</v>
      </c>
      <c r="E116">
        <v>0</v>
      </c>
      <c r="F116" t="s">
        <v>13</v>
      </c>
      <c r="G116" t="s">
        <v>20</v>
      </c>
      <c r="H116" t="s">
        <v>15</v>
      </c>
      <c r="I116">
        <v>0</v>
      </c>
      <c r="J116" t="s">
        <v>16</v>
      </c>
      <c r="K116" t="s">
        <v>24</v>
      </c>
      <c r="L116">
        <v>26</v>
      </c>
      <c r="M116" t="str">
        <f t="shared" si="1"/>
        <v>Adolenece</v>
      </c>
      <c r="N116" t="s">
        <v>15</v>
      </c>
    </row>
    <row r="117" spans="1:14" x14ac:dyDescent="0.35">
      <c r="A117">
        <v>24140</v>
      </c>
      <c r="B117" t="s">
        <v>37</v>
      </c>
      <c r="C117" t="s">
        <v>40</v>
      </c>
      <c r="D117" s="3">
        <v>10000</v>
      </c>
      <c r="E117">
        <v>0</v>
      </c>
      <c r="F117" t="s">
        <v>31</v>
      </c>
      <c r="G117" t="s">
        <v>25</v>
      </c>
      <c r="H117" t="s">
        <v>18</v>
      </c>
      <c r="I117">
        <v>0</v>
      </c>
      <c r="J117" t="s">
        <v>16</v>
      </c>
      <c r="K117" t="s">
        <v>17</v>
      </c>
      <c r="L117">
        <v>30</v>
      </c>
      <c r="M117" t="str">
        <f t="shared" si="1"/>
        <v>Adolenece</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40</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Adolenece</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40</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40</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40</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40</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40</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40</v>
      </c>
      <c r="D131" s="3">
        <v>10000</v>
      </c>
      <c r="E131">
        <v>3</v>
      </c>
      <c r="F131" t="s">
        <v>27</v>
      </c>
      <c r="G131" t="s">
        <v>25</v>
      </c>
      <c r="H131" t="s">
        <v>15</v>
      </c>
      <c r="I131">
        <v>1</v>
      </c>
      <c r="J131" t="s">
        <v>16</v>
      </c>
      <c r="K131" t="s">
        <v>17</v>
      </c>
      <c r="L131">
        <v>39</v>
      </c>
      <c r="M131" t="str">
        <f t="shared" ref="M131:M194" si="2">IF(L131&gt;54,"Old",IF(L131&gt;=31,"Middle age",IF(L131&lt;31,"Adolenece","Invalid")))</f>
        <v>Middle age</v>
      </c>
      <c r="N131" t="s">
        <v>15</v>
      </c>
    </row>
    <row r="132" spans="1:14" x14ac:dyDescent="0.35">
      <c r="A132">
        <v>12993</v>
      </c>
      <c r="B132" t="s">
        <v>36</v>
      </c>
      <c r="C132" t="s">
        <v>40</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40</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40</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40</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40</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40</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40</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Adolenece</v>
      </c>
      <c r="N143" t="s">
        <v>15</v>
      </c>
    </row>
    <row r="144" spans="1:14" x14ac:dyDescent="0.35">
      <c r="A144">
        <v>14832</v>
      </c>
      <c r="B144" t="s">
        <v>36</v>
      </c>
      <c r="C144" t="s">
        <v>40</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5">
      <c r="A146">
        <v>20877</v>
      </c>
      <c r="B146" t="s">
        <v>37</v>
      </c>
      <c r="C146" t="s">
        <v>40</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40</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40</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40</v>
      </c>
      <c r="D151" s="3">
        <v>30000</v>
      </c>
      <c r="E151">
        <v>0</v>
      </c>
      <c r="F151" t="s">
        <v>19</v>
      </c>
      <c r="G151" t="s">
        <v>20</v>
      </c>
      <c r="H151" t="s">
        <v>18</v>
      </c>
      <c r="I151">
        <v>1</v>
      </c>
      <c r="J151" t="s">
        <v>26</v>
      </c>
      <c r="K151" t="s">
        <v>17</v>
      </c>
      <c r="L151">
        <v>27</v>
      </c>
      <c r="M151" t="str">
        <f t="shared" si="2"/>
        <v>Adolenece</v>
      </c>
      <c r="N151" t="s">
        <v>18</v>
      </c>
    </row>
    <row r="152" spans="1:14" x14ac:dyDescent="0.35">
      <c r="A152">
        <v>26154</v>
      </c>
      <c r="B152" t="s">
        <v>36</v>
      </c>
      <c r="C152" t="s">
        <v>40</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40</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40</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40</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40</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40</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40</v>
      </c>
      <c r="D166" s="3">
        <v>10000</v>
      </c>
      <c r="E166">
        <v>0</v>
      </c>
      <c r="F166" t="s">
        <v>19</v>
      </c>
      <c r="G166" t="s">
        <v>25</v>
      </c>
      <c r="H166" t="s">
        <v>15</v>
      </c>
      <c r="I166">
        <v>1</v>
      </c>
      <c r="J166" t="s">
        <v>22</v>
      </c>
      <c r="K166" t="s">
        <v>24</v>
      </c>
      <c r="L166">
        <v>25</v>
      </c>
      <c r="M166" t="str">
        <f t="shared" si="2"/>
        <v>Adolenece</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Adolenece</v>
      </c>
      <c r="N167" t="s">
        <v>18</v>
      </c>
    </row>
    <row r="168" spans="1:14" x14ac:dyDescent="0.35">
      <c r="A168">
        <v>26757</v>
      </c>
      <c r="B168" t="s">
        <v>37</v>
      </c>
      <c r="C168" t="s">
        <v>40</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40</v>
      </c>
      <c r="D169" s="3">
        <v>100000</v>
      </c>
      <c r="E169">
        <v>0</v>
      </c>
      <c r="F169" t="s">
        <v>27</v>
      </c>
      <c r="G169" t="s">
        <v>28</v>
      </c>
      <c r="H169" t="s">
        <v>15</v>
      </c>
      <c r="I169">
        <v>3</v>
      </c>
      <c r="J169" t="s">
        <v>47</v>
      </c>
      <c r="K169" t="s">
        <v>24</v>
      </c>
      <c r="L169">
        <v>35</v>
      </c>
      <c r="M169" t="str">
        <f t="shared" si="2"/>
        <v>Middle age</v>
      </c>
      <c r="N169" t="s">
        <v>18</v>
      </c>
    </row>
    <row r="170" spans="1:14" x14ac:dyDescent="0.35">
      <c r="A170">
        <v>14058</v>
      </c>
      <c r="B170" t="s">
        <v>37</v>
      </c>
      <c r="C170" t="s">
        <v>40</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40</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40</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Adolenece</v>
      </c>
      <c r="N175" t="s">
        <v>18</v>
      </c>
    </row>
    <row r="176" spans="1:14" x14ac:dyDescent="0.35">
      <c r="A176">
        <v>19442</v>
      </c>
      <c r="B176" t="s">
        <v>37</v>
      </c>
      <c r="C176" t="s">
        <v>40</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Adolenece</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40</v>
      </c>
      <c r="D180" s="3">
        <v>160000</v>
      </c>
      <c r="E180">
        <v>4</v>
      </c>
      <c r="F180" t="s">
        <v>19</v>
      </c>
      <c r="G180" t="s">
        <v>21</v>
      </c>
      <c r="H180" t="s">
        <v>18</v>
      </c>
      <c r="I180">
        <v>2</v>
      </c>
      <c r="J180" t="s">
        <v>47</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40</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40</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40</v>
      </c>
      <c r="D189" s="3">
        <v>80000</v>
      </c>
      <c r="E189">
        <v>5</v>
      </c>
      <c r="F189" t="s">
        <v>19</v>
      </c>
      <c r="G189" t="s">
        <v>21</v>
      </c>
      <c r="H189" t="s">
        <v>18</v>
      </c>
      <c r="I189">
        <v>2</v>
      </c>
      <c r="J189" t="s">
        <v>47</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5">
      <c r="A191">
        <v>19482</v>
      </c>
      <c r="B191" t="s">
        <v>36</v>
      </c>
      <c r="C191" t="s">
        <v>40</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40</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40</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age",IF(L195&lt;31,"Adolenece","Invalid")))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40</v>
      </c>
      <c r="D197" s="3">
        <v>20000</v>
      </c>
      <c r="E197">
        <v>0</v>
      </c>
      <c r="F197" t="s">
        <v>13</v>
      </c>
      <c r="G197" t="s">
        <v>20</v>
      </c>
      <c r="H197" t="s">
        <v>15</v>
      </c>
      <c r="I197">
        <v>0</v>
      </c>
      <c r="J197" t="s">
        <v>16</v>
      </c>
      <c r="K197" t="s">
        <v>24</v>
      </c>
      <c r="L197">
        <v>25</v>
      </c>
      <c r="M197" t="str">
        <f t="shared" si="3"/>
        <v>Adolenece</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40</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40</v>
      </c>
      <c r="D201" s="3">
        <v>80000</v>
      </c>
      <c r="E201">
        <v>0</v>
      </c>
      <c r="F201" t="s">
        <v>13</v>
      </c>
      <c r="G201" t="s">
        <v>21</v>
      </c>
      <c r="H201" t="s">
        <v>18</v>
      </c>
      <c r="I201">
        <v>3</v>
      </c>
      <c r="J201" t="s">
        <v>47</v>
      </c>
      <c r="K201" t="s">
        <v>24</v>
      </c>
      <c r="L201">
        <v>33</v>
      </c>
      <c r="M201" t="str">
        <f t="shared" si="3"/>
        <v>Middle age</v>
      </c>
      <c r="N201" t="s">
        <v>15</v>
      </c>
    </row>
    <row r="202" spans="1:14" x14ac:dyDescent="0.35">
      <c r="A202">
        <v>24584</v>
      </c>
      <c r="B202" t="s">
        <v>37</v>
      </c>
      <c r="C202" t="s">
        <v>40</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40</v>
      </c>
      <c r="D203" s="3">
        <v>10000</v>
      </c>
      <c r="E203">
        <v>1</v>
      </c>
      <c r="F203" t="s">
        <v>27</v>
      </c>
      <c r="G203" t="s">
        <v>25</v>
      </c>
      <c r="H203" t="s">
        <v>15</v>
      </c>
      <c r="I203">
        <v>0</v>
      </c>
      <c r="J203" t="s">
        <v>22</v>
      </c>
      <c r="K203" t="s">
        <v>24</v>
      </c>
      <c r="L203">
        <v>27</v>
      </c>
      <c r="M203" t="str">
        <f t="shared" si="3"/>
        <v>Adolenece</v>
      </c>
      <c r="N203" t="s">
        <v>15</v>
      </c>
    </row>
    <row r="204" spans="1:14" x14ac:dyDescent="0.35">
      <c r="A204">
        <v>18626</v>
      </c>
      <c r="B204" t="s">
        <v>37</v>
      </c>
      <c r="C204" t="s">
        <v>40</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40</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40</v>
      </c>
      <c r="D208" s="3">
        <v>90000</v>
      </c>
      <c r="E208">
        <v>5</v>
      </c>
      <c r="F208" t="s">
        <v>19</v>
      </c>
      <c r="G208" t="s">
        <v>21</v>
      </c>
      <c r="H208" t="s">
        <v>18</v>
      </c>
      <c r="I208">
        <v>2</v>
      </c>
      <c r="J208" t="s">
        <v>47</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Adolenece</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Adolenece</v>
      </c>
      <c r="N214" t="s">
        <v>18</v>
      </c>
    </row>
    <row r="215" spans="1:14" x14ac:dyDescent="0.35">
      <c r="A215">
        <v>11451</v>
      </c>
      <c r="B215" t="s">
        <v>37</v>
      </c>
      <c r="C215" t="s">
        <v>40</v>
      </c>
      <c r="D215" s="3">
        <v>70000</v>
      </c>
      <c r="E215">
        <v>0</v>
      </c>
      <c r="F215" t="s">
        <v>13</v>
      </c>
      <c r="G215" t="s">
        <v>21</v>
      </c>
      <c r="H215" t="s">
        <v>18</v>
      </c>
      <c r="I215">
        <v>4</v>
      </c>
      <c r="J215" t="s">
        <v>47</v>
      </c>
      <c r="K215" t="s">
        <v>24</v>
      </c>
      <c r="L215">
        <v>31</v>
      </c>
      <c r="M215" t="str">
        <f t="shared" si="3"/>
        <v>Middle age</v>
      </c>
      <c r="N215" t="s">
        <v>15</v>
      </c>
    </row>
    <row r="216" spans="1:14" x14ac:dyDescent="0.35">
      <c r="A216">
        <v>25553</v>
      </c>
      <c r="B216" t="s">
        <v>36</v>
      </c>
      <c r="C216" t="s">
        <v>40</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40</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40</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Adolenece</v>
      </c>
      <c r="N219" t="s">
        <v>18</v>
      </c>
    </row>
    <row r="220" spans="1:14" x14ac:dyDescent="0.35">
      <c r="A220">
        <v>16043</v>
      </c>
      <c r="B220" t="s">
        <v>37</v>
      </c>
      <c r="C220" t="s">
        <v>40</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40</v>
      </c>
      <c r="D221" s="3">
        <v>10000</v>
      </c>
      <c r="E221">
        <v>0</v>
      </c>
      <c r="F221" t="s">
        <v>19</v>
      </c>
      <c r="G221" t="s">
        <v>25</v>
      </c>
      <c r="H221" t="s">
        <v>15</v>
      </c>
      <c r="I221">
        <v>1</v>
      </c>
      <c r="J221" t="s">
        <v>26</v>
      </c>
      <c r="K221" t="s">
        <v>24</v>
      </c>
      <c r="L221">
        <v>26</v>
      </c>
      <c r="M221" t="str">
        <f t="shared" si="3"/>
        <v>Adolenece</v>
      </c>
      <c r="N221" t="s">
        <v>15</v>
      </c>
    </row>
    <row r="222" spans="1:14" x14ac:dyDescent="0.35">
      <c r="A222">
        <v>27696</v>
      </c>
      <c r="B222" t="s">
        <v>36</v>
      </c>
      <c r="C222" t="s">
        <v>40</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40</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40</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40</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40</v>
      </c>
      <c r="D231" s="3">
        <v>80000</v>
      </c>
      <c r="E231">
        <v>5</v>
      </c>
      <c r="F231" t="s">
        <v>27</v>
      </c>
      <c r="G231" t="s">
        <v>28</v>
      </c>
      <c r="H231" t="s">
        <v>15</v>
      </c>
      <c r="I231">
        <v>3</v>
      </c>
      <c r="J231" t="s">
        <v>47</v>
      </c>
      <c r="K231" t="s">
        <v>17</v>
      </c>
      <c r="L231">
        <v>57</v>
      </c>
      <c r="M231" t="str">
        <f t="shared" si="3"/>
        <v>Old</v>
      </c>
      <c r="N231" t="s">
        <v>18</v>
      </c>
    </row>
    <row r="232" spans="1:14" x14ac:dyDescent="0.35">
      <c r="A232">
        <v>22830</v>
      </c>
      <c r="B232" t="s">
        <v>36</v>
      </c>
      <c r="C232" t="s">
        <v>40</v>
      </c>
      <c r="D232" s="3">
        <v>120000</v>
      </c>
      <c r="E232">
        <v>4</v>
      </c>
      <c r="F232" t="s">
        <v>19</v>
      </c>
      <c r="G232" t="s">
        <v>28</v>
      </c>
      <c r="H232" t="s">
        <v>15</v>
      </c>
      <c r="I232">
        <v>3</v>
      </c>
      <c r="J232" t="s">
        <v>47</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40</v>
      </c>
      <c r="D235" s="3">
        <v>20000</v>
      </c>
      <c r="E235">
        <v>0</v>
      </c>
      <c r="F235" t="s">
        <v>13</v>
      </c>
      <c r="G235" t="s">
        <v>20</v>
      </c>
      <c r="H235" t="s">
        <v>15</v>
      </c>
      <c r="I235">
        <v>0</v>
      </c>
      <c r="J235" t="s">
        <v>16</v>
      </c>
      <c r="K235" t="s">
        <v>24</v>
      </c>
      <c r="L235">
        <v>27</v>
      </c>
      <c r="M235" t="str">
        <f t="shared" si="3"/>
        <v>Adolenece</v>
      </c>
      <c r="N235" t="s">
        <v>15</v>
      </c>
    </row>
    <row r="236" spans="1:14" x14ac:dyDescent="0.35">
      <c r="A236">
        <v>24611</v>
      </c>
      <c r="B236" t="s">
        <v>37</v>
      </c>
      <c r="C236" t="s">
        <v>40</v>
      </c>
      <c r="D236" s="3">
        <v>90000</v>
      </c>
      <c r="E236">
        <v>0</v>
      </c>
      <c r="F236" t="s">
        <v>13</v>
      </c>
      <c r="G236" t="s">
        <v>21</v>
      </c>
      <c r="H236" t="s">
        <v>18</v>
      </c>
      <c r="I236">
        <v>4</v>
      </c>
      <c r="J236" t="s">
        <v>47</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Adolenece</v>
      </c>
      <c r="N239" t="s">
        <v>15</v>
      </c>
    </row>
    <row r="240" spans="1:14" x14ac:dyDescent="0.35">
      <c r="A240">
        <v>22006</v>
      </c>
      <c r="B240" t="s">
        <v>36</v>
      </c>
      <c r="C240" t="s">
        <v>40</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40</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Adolenece</v>
      </c>
      <c r="N243" t="s">
        <v>18</v>
      </c>
    </row>
    <row r="244" spans="1:14" x14ac:dyDescent="0.35">
      <c r="A244">
        <v>23908</v>
      </c>
      <c r="B244" t="s">
        <v>37</v>
      </c>
      <c r="C244" t="s">
        <v>40</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Adolenece</v>
      </c>
      <c r="N245" t="s">
        <v>18</v>
      </c>
    </row>
    <row r="246" spans="1:14" x14ac:dyDescent="0.3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5">
      <c r="A247">
        <v>18494</v>
      </c>
      <c r="B247" t="s">
        <v>36</v>
      </c>
      <c r="C247" t="s">
        <v>40</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40</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40</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40</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40</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40</v>
      </c>
      <c r="D255" s="3">
        <v>100000</v>
      </c>
      <c r="E255">
        <v>3</v>
      </c>
      <c r="F255" t="s">
        <v>29</v>
      </c>
      <c r="G255" t="s">
        <v>21</v>
      </c>
      <c r="H255" t="s">
        <v>15</v>
      </c>
      <c r="I255">
        <v>0</v>
      </c>
      <c r="J255" t="s">
        <v>47</v>
      </c>
      <c r="K255" t="s">
        <v>17</v>
      </c>
      <c r="L255">
        <v>59</v>
      </c>
      <c r="M255" t="str">
        <f t="shared" si="3"/>
        <v>Old</v>
      </c>
      <c r="N255" t="s">
        <v>15</v>
      </c>
    </row>
    <row r="256" spans="1:14" x14ac:dyDescent="0.35">
      <c r="A256">
        <v>21375</v>
      </c>
      <c r="B256" t="s">
        <v>37</v>
      </c>
      <c r="C256" t="s">
        <v>40</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40</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age",IF(L259&lt;31,"Adolenece","Invalid")))</f>
        <v>Middle age</v>
      </c>
      <c r="N259" t="s">
        <v>15</v>
      </c>
    </row>
    <row r="260" spans="1:14" x14ac:dyDescent="0.3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5">
      <c r="A261">
        <v>12705</v>
      </c>
      <c r="B261" t="s">
        <v>36</v>
      </c>
      <c r="C261" t="s">
        <v>40</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5">
      <c r="A266">
        <v>17964</v>
      </c>
      <c r="B266" t="s">
        <v>36</v>
      </c>
      <c r="C266" t="s">
        <v>40</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Adolenece</v>
      </c>
      <c r="N268" t="s">
        <v>18</v>
      </c>
    </row>
    <row r="269" spans="1:14" x14ac:dyDescent="0.35">
      <c r="A269">
        <v>13133</v>
      </c>
      <c r="B269" t="s">
        <v>37</v>
      </c>
      <c r="C269" t="s">
        <v>40</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40</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Adolenece</v>
      </c>
      <c r="N273" t="s">
        <v>18</v>
      </c>
    </row>
    <row r="274" spans="1:14" x14ac:dyDescent="0.35">
      <c r="A274">
        <v>24061</v>
      </c>
      <c r="B274" t="s">
        <v>36</v>
      </c>
      <c r="C274" t="s">
        <v>40</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Adolenece</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40</v>
      </c>
      <c r="D280" s="3">
        <v>100000</v>
      </c>
      <c r="E280">
        <v>0</v>
      </c>
      <c r="F280" t="s">
        <v>27</v>
      </c>
      <c r="G280" t="s">
        <v>28</v>
      </c>
      <c r="H280" t="s">
        <v>15</v>
      </c>
      <c r="I280">
        <v>3</v>
      </c>
      <c r="J280" t="s">
        <v>47</v>
      </c>
      <c r="K280" t="s">
        <v>24</v>
      </c>
      <c r="L280">
        <v>35</v>
      </c>
      <c r="M280" t="str">
        <f t="shared" si="4"/>
        <v>Middle age</v>
      </c>
      <c r="N280" t="s">
        <v>15</v>
      </c>
    </row>
    <row r="281" spans="1:14" x14ac:dyDescent="0.35">
      <c r="A281">
        <v>16390</v>
      </c>
      <c r="B281" t="s">
        <v>37</v>
      </c>
      <c r="C281" t="s">
        <v>40</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40</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40</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40</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40</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40</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40</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40</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40</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Adolenece</v>
      </c>
      <c r="N303" t="s">
        <v>15</v>
      </c>
    </row>
    <row r="304" spans="1:14" x14ac:dyDescent="0.35">
      <c r="A304">
        <v>26928</v>
      </c>
      <c r="B304" t="s">
        <v>37</v>
      </c>
      <c r="C304" t="s">
        <v>40</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40</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40</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40</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40</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40</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40</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40</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40</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40</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40</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40</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40</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40</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40</v>
      </c>
      <c r="D320" s="3">
        <v>130000</v>
      </c>
      <c r="E320">
        <v>4</v>
      </c>
      <c r="F320" t="s">
        <v>19</v>
      </c>
      <c r="G320" t="s">
        <v>21</v>
      </c>
      <c r="H320" t="s">
        <v>18</v>
      </c>
      <c r="I320">
        <v>3</v>
      </c>
      <c r="J320" t="s">
        <v>47</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40</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age",IF(L323&lt;31,"Adolenece","Invalid")))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40</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40</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Adolenece</v>
      </c>
      <c r="N328" t="s">
        <v>15</v>
      </c>
    </row>
    <row r="329" spans="1:14" x14ac:dyDescent="0.35">
      <c r="A329">
        <v>28379</v>
      </c>
      <c r="B329" t="s">
        <v>36</v>
      </c>
      <c r="C329" t="s">
        <v>40</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40</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5">
      <c r="A333">
        <v>19508</v>
      </c>
      <c r="B333" t="s">
        <v>36</v>
      </c>
      <c r="C333" t="s">
        <v>40</v>
      </c>
      <c r="D333" s="3">
        <v>10000</v>
      </c>
      <c r="E333">
        <v>0</v>
      </c>
      <c r="F333" t="s">
        <v>29</v>
      </c>
      <c r="G333" t="s">
        <v>25</v>
      </c>
      <c r="H333" t="s">
        <v>18</v>
      </c>
      <c r="I333">
        <v>2</v>
      </c>
      <c r="J333" t="s">
        <v>16</v>
      </c>
      <c r="K333" t="s">
        <v>17</v>
      </c>
      <c r="L333">
        <v>30</v>
      </c>
      <c r="M333" t="str">
        <f t="shared" si="5"/>
        <v>Adolenece</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40</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40</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40</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40</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40</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40</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40</v>
      </c>
      <c r="D342" s="3">
        <v>30000</v>
      </c>
      <c r="E342">
        <v>0</v>
      </c>
      <c r="F342" t="s">
        <v>19</v>
      </c>
      <c r="G342" t="s">
        <v>20</v>
      </c>
      <c r="H342" t="s">
        <v>15</v>
      </c>
      <c r="I342">
        <v>1</v>
      </c>
      <c r="J342" t="s">
        <v>22</v>
      </c>
      <c r="K342" t="s">
        <v>17</v>
      </c>
      <c r="L342">
        <v>30</v>
      </c>
      <c r="M342" t="str">
        <f t="shared" si="5"/>
        <v>Adolenece</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40</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40</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40</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40</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Adolenece</v>
      </c>
      <c r="N351" t="s">
        <v>15</v>
      </c>
    </row>
    <row r="352" spans="1:14" x14ac:dyDescent="0.35">
      <c r="A352">
        <v>27878</v>
      </c>
      <c r="B352" t="s">
        <v>37</v>
      </c>
      <c r="C352" t="s">
        <v>40</v>
      </c>
      <c r="D352" s="3">
        <v>20000</v>
      </c>
      <c r="E352">
        <v>0</v>
      </c>
      <c r="F352" t="s">
        <v>19</v>
      </c>
      <c r="G352" t="s">
        <v>25</v>
      </c>
      <c r="H352" t="s">
        <v>18</v>
      </c>
      <c r="I352">
        <v>0</v>
      </c>
      <c r="J352" t="s">
        <v>16</v>
      </c>
      <c r="K352" t="s">
        <v>24</v>
      </c>
      <c r="L352">
        <v>28</v>
      </c>
      <c r="M352" t="str">
        <f t="shared" si="5"/>
        <v>Adolenece</v>
      </c>
      <c r="N352" t="s">
        <v>15</v>
      </c>
    </row>
    <row r="353" spans="1:14" x14ac:dyDescent="0.35">
      <c r="A353">
        <v>13572</v>
      </c>
      <c r="B353" t="s">
        <v>37</v>
      </c>
      <c r="C353" t="s">
        <v>40</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40</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40</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40</v>
      </c>
      <c r="D357" s="3">
        <v>80000</v>
      </c>
      <c r="E357">
        <v>0</v>
      </c>
      <c r="F357" t="s">
        <v>13</v>
      </c>
      <c r="G357" t="s">
        <v>21</v>
      </c>
      <c r="H357" t="s">
        <v>15</v>
      </c>
      <c r="I357">
        <v>3</v>
      </c>
      <c r="J357" t="s">
        <v>47</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40</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40</v>
      </c>
      <c r="D361" s="3">
        <v>80000</v>
      </c>
      <c r="E361">
        <v>0</v>
      </c>
      <c r="F361" t="s">
        <v>13</v>
      </c>
      <c r="G361" t="s">
        <v>21</v>
      </c>
      <c r="H361" t="s">
        <v>15</v>
      </c>
      <c r="I361">
        <v>3</v>
      </c>
      <c r="J361" t="s">
        <v>47</v>
      </c>
      <c r="K361" t="s">
        <v>24</v>
      </c>
      <c r="L361">
        <v>30</v>
      </c>
      <c r="M361" t="str">
        <f t="shared" si="5"/>
        <v>Adolenece</v>
      </c>
      <c r="N361" t="s">
        <v>18</v>
      </c>
    </row>
    <row r="362" spans="1:14" x14ac:dyDescent="0.35">
      <c r="A362">
        <v>13082</v>
      </c>
      <c r="B362" t="s">
        <v>37</v>
      </c>
      <c r="C362" t="s">
        <v>40</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Adolenece</v>
      </c>
      <c r="N363" t="s">
        <v>15</v>
      </c>
    </row>
    <row r="364" spans="1:14" x14ac:dyDescent="0.35">
      <c r="A364">
        <v>13687</v>
      </c>
      <c r="B364" t="s">
        <v>36</v>
      </c>
      <c r="C364" t="s">
        <v>40</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40</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5">
      <c r="A373">
        <v>22918</v>
      </c>
      <c r="B373" t="s">
        <v>37</v>
      </c>
      <c r="C373" t="s">
        <v>40</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40</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40</v>
      </c>
      <c r="D375" s="3">
        <v>20000</v>
      </c>
      <c r="E375">
        <v>0</v>
      </c>
      <c r="F375" t="s">
        <v>27</v>
      </c>
      <c r="G375" t="s">
        <v>25</v>
      </c>
      <c r="H375" t="s">
        <v>18</v>
      </c>
      <c r="I375">
        <v>1</v>
      </c>
      <c r="J375" t="s">
        <v>22</v>
      </c>
      <c r="K375" t="s">
        <v>17</v>
      </c>
      <c r="L375">
        <v>30</v>
      </c>
      <c r="M375" t="str">
        <f t="shared" si="5"/>
        <v>Adolenece</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40</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40</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40</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40</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40</v>
      </c>
      <c r="D382" s="3">
        <v>70000</v>
      </c>
      <c r="E382">
        <v>0</v>
      </c>
      <c r="F382" t="s">
        <v>13</v>
      </c>
      <c r="G382" t="s">
        <v>21</v>
      </c>
      <c r="H382" t="s">
        <v>18</v>
      </c>
      <c r="I382">
        <v>3</v>
      </c>
      <c r="J382" t="s">
        <v>47</v>
      </c>
      <c r="K382" t="s">
        <v>24</v>
      </c>
      <c r="L382">
        <v>30</v>
      </c>
      <c r="M382" t="str">
        <f t="shared" si="5"/>
        <v>Adolenece</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40</v>
      </c>
      <c r="D384" s="3">
        <v>80000</v>
      </c>
      <c r="E384">
        <v>4</v>
      </c>
      <c r="F384" t="s">
        <v>19</v>
      </c>
      <c r="G384" t="s">
        <v>21</v>
      </c>
      <c r="H384" t="s">
        <v>15</v>
      </c>
      <c r="I384">
        <v>2</v>
      </c>
      <c r="J384" t="s">
        <v>47</v>
      </c>
      <c r="K384" t="s">
        <v>17</v>
      </c>
      <c r="L384">
        <v>53</v>
      </c>
      <c r="M384" t="str">
        <f t="shared" si="5"/>
        <v>Middle age</v>
      </c>
      <c r="N384" t="s">
        <v>18</v>
      </c>
    </row>
    <row r="385" spans="1:14" x14ac:dyDescent="0.35">
      <c r="A385">
        <v>17978</v>
      </c>
      <c r="B385" t="s">
        <v>36</v>
      </c>
      <c r="C385" t="s">
        <v>40</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Adolenece</v>
      </c>
      <c r="N386" t="s">
        <v>15</v>
      </c>
    </row>
    <row r="387" spans="1:14" x14ac:dyDescent="0.35">
      <c r="A387">
        <v>18018</v>
      </c>
      <c r="B387" t="s">
        <v>37</v>
      </c>
      <c r="C387" t="s">
        <v>40</v>
      </c>
      <c r="D387" s="3">
        <v>30000</v>
      </c>
      <c r="E387">
        <v>3</v>
      </c>
      <c r="F387" t="s">
        <v>19</v>
      </c>
      <c r="G387" t="s">
        <v>20</v>
      </c>
      <c r="H387" t="s">
        <v>15</v>
      </c>
      <c r="I387">
        <v>0</v>
      </c>
      <c r="J387" t="s">
        <v>16</v>
      </c>
      <c r="K387" t="s">
        <v>17</v>
      </c>
      <c r="L387">
        <v>43</v>
      </c>
      <c r="M387" t="str">
        <f t="shared" ref="M387:M450" si="6">IF(L387&gt;54,"Old",IF(L387&gt;=31,"Middle age",IF(L387&lt;31,"Adolenece","Invalid")))</f>
        <v>Middle age</v>
      </c>
      <c r="N387" t="s">
        <v>18</v>
      </c>
    </row>
    <row r="388" spans="1:14" x14ac:dyDescent="0.3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40</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40</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40</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40</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40</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40</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40</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40</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40</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40</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40</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40</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40</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5">
      <c r="A423">
        <v>14547</v>
      </c>
      <c r="B423" t="s">
        <v>36</v>
      </c>
      <c r="C423" t="s">
        <v>40</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40</v>
      </c>
      <c r="D424" s="3">
        <v>110000</v>
      </c>
      <c r="E424">
        <v>0</v>
      </c>
      <c r="F424" t="s">
        <v>19</v>
      </c>
      <c r="G424" t="s">
        <v>28</v>
      </c>
      <c r="H424" t="s">
        <v>18</v>
      </c>
      <c r="I424">
        <v>3</v>
      </c>
      <c r="J424" t="s">
        <v>47</v>
      </c>
      <c r="K424" t="s">
        <v>24</v>
      </c>
      <c r="L424">
        <v>32</v>
      </c>
      <c r="M424" t="str">
        <f t="shared" si="6"/>
        <v>Middle age</v>
      </c>
      <c r="N424" t="s">
        <v>15</v>
      </c>
    </row>
    <row r="425" spans="1:14" x14ac:dyDescent="0.35">
      <c r="A425">
        <v>27169</v>
      </c>
      <c r="B425" t="s">
        <v>37</v>
      </c>
      <c r="C425" t="s">
        <v>40</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40</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40</v>
      </c>
      <c r="D428" s="3">
        <v>30000</v>
      </c>
      <c r="E428">
        <v>0</v>
      </c>
      <c r="F428" t="s">
        <v>19</v>
      </c>
      <c r="G428" t="s">
        <v>20</v>
      </c>
      <c r="H428" t="s">
        <v>18</v>
      </c>
      <c r="I428">
        <v>1</v>
      </c>
      <c r="J428" t="s">
        <v>22</v>
      </c>
      <c r="K428" t="s">
        <v>17</v>
      </c>
      <c r="L428">
        <v>28</v>
      </c>
      <c r="M428" t="str">
        <f t="shared" si="6"/>
        <v>Adolenece</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40</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40</v>
      </c>
      <c r="D433" s="3">
        <v>20000</v>
      </c>
      <c r="E433">
        <v>0</v>
      </c>
      <c r="F433" t="s">
        <v>19</v>
      </c>
      <c r="G433" t="s">
        <v>25</v>
      </c>
      <c r="H433" t="s">
        <v>15</v>
      </c>
      <c r="I433">
        <v>0</v>
      </c>
      <c r="J433" t="s">
        <v>16</v>
      </c>
      <c r="K433" t="s">
        <v>24</v>
      </c>
      <c r="L433">
        <v>28</v>
      </c>
      <c r="M433" t="str">
        <f t="shared" si="6"/>
        <v>Adolenece</v>
      </c>
      <c r="N433" t="s">
        <v>15</v>
      </c>
    </row>
    <row r="434" spans="1:14" x14ac:dyDescent="0.3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Adolenece</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Adolenece</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40</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40</v>
      </c>
      <c r="D442" s="3">
        <v>90000</v>
      </c>
      <c r="E442">
        <v>0</v>
      </c>
      <c r="F442" t="s">
        <v>13</v>
      </c>
      <c r="G442" t="s">
        <v>21</v>
      </c>
      <c r="H442" t="s">
        <v>18</v>
      </c>
      <c r="I442">
        <v>3</v>
      </c>
      <c r="J442" t="s">
        <v>47</v>
      </c>
      <c r="K442" t="s">
        <v>24</v>
      </c>
      <c r="L442">
        <v>34</v>
      </c>
      <c r="M442" t="str">
        <f t="shared" si="6"/>
        <v>Middle age</v>
      </c>
      <c r="N442" t="s">
        <v>15</v>
      </c>
    </row>
    <row r="443" spans="1:14" x14ac:dyDescent="0.35">
      <c r="A443">
        <v>11061</v>
      </c>
      <c r="B443" t="s">
        <v>36</v>
      </c>
      <c r="C443" t="s">
        <v>40</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40</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40</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age",IF(L451&lt;31,"Adolenece","Invalid")))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40</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40</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40</v>
      </c>
      <c r="D460" s="3">
        <v>120000</v>
      </c>
      <c r="E460">
        <v>0</v>
      </c>
      <c r="F460" t="s">
        <v>29</v>
      </c>
      <c r="G460" t="s">
        <v>21</v>
      </c>
      <c r="H460" t="s">
        <v>15</v>
      </c>
      <c r="I460">
        <v>4</v>
      </c>
      <c r="J460" t="s">
        <v>47</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5">
      <c r="A462">
        <v>13662</v>
      </c>
      <c r="B462" t="s">
        <v>37</v>
      </c>
      <c r="C462" t="s">
        <v>40</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40</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40</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40</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40</v>
      </c>
      <c r="D472" s="3">
        <v>30000</v>
      </c>
      <c r="E472">
        <v>0</v>
      </c>
      <c r="F472" t="s">
        <v>27</v>
      </c>
      <c r="G472" t="s">
        <v>25</v>
      </c>
      <c r="H472" t="s">
        <v>18</v>
      </c>
      <c r="I472">
        <v>1</v>
      </c>
      <c r="J472" t="s">
        <v>26</v>
      </c>
      <c r="K472" t="s">
        <v>17</v>
      </c>
      <c r="L472">
        <v>28</v>
      </c>
      <c r="M472" t="str">
        <f t="shared" si="7"/>
        <v>Adolenece</v>
      </c>
      <c r="N472" t="s">
        <v>18</v>
      </c>
    </row>
    <row r="473" spans="1:14" x14ac:dyDescent="0.35">
      <c r="A473">
        <v>28323</v>
      </c>
      <c r="B473" t="s">
        <v>37</v>
      </c>
      <c r="C473" t="s">
        <v>40</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40</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40</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40</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40</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40</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40</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40</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5">
      <c r="A489">
        <v>12821</v>
      </c>
      <c r="B489" t="s">
        <v>36</v>
      </c>
      <c r="C489" t="s">
        <v>40</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40</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40</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40</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40</v>
      </c>
      <c r="D495" s="3">
        <v>70000</v>
      </c>
      <c r="E495">
        <v>5</v>
      </c>
      <c r="F495" t="s">
        <v>13</v>
      </c>
      <c r="G495" t="s">
        <v>28</v>
      </c>
      <c r="H495" t="s">
        <v>15</v>
      </c>
      <c r="I495">
        <v>3</v>
      </c>
      <c r="J495" t="s">
        <v>47</v>
      </c>
      <c r="K495" t="s">
        <v>32</v>
      </c>
      <c r="L495">
        <v>60</v>
      </c>
      <c r="M495" t="str">
        <f t="shared" si="7"/>
        <v>Old</v>
      </c>
      <c r="N495" t="s">
        <v>15</v>
      </c>
    </row>
    <row r="496" spans="1:14" x14ac:dyDescent="0.35">
      <c r="A496">
        <v>27650</v>
      </c>
      <c r="B496" t="s">
        <v>36</v>
      </c>
      <c r="C496" t="s">
        <v>40</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40</v>
      </c>
      <c r="D497" s="3">
        <v>60000</v>
      </c>
      <c r="E497">
        <v>2</v>
      </c>
      <c r="F497" t="s">
        <v>19</v>
      </c>
      <c r="G497" t="s">
        <v>21</v>
      </c>
      <c r="H497" t="s">
        <v>15</v>
      </c>
      <c r="I497">
        <v>2</v>
      </c>
      <c r="J497" t="s">
        <v>47</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40</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40</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40</v>
      </c>
      <c r="D504" s="3">
        <v>40000</v>
      </c>
      <c r="E504">
        <v>0</v>
      </c>
      <c r="F504" t="s">
        <v>19</v>
      </c>
      <c r="G504" t="s">
        <v>14</v>
      </c>
      <c r="H504" t="s">
        <v>15</v>
      </c>
      <c r="I504">
        <v>1</v>
      </c>
      <c r="J504" t="s">
        <v>23</v>
      </c>
      <c r="K504" t="s">
        <v>32</v>
      </c>
      <c r="L504">
        <v>29</v>
      </c>
      <c r="M504" t="str">
        <f t="shared" si="7"/>
        <v>Adolenece</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40</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40</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40</v>
      </c>
      <c r="D510" s="3">
        <v>60000</v>
      </c>
      <c r="E510">
        <v>0</v>
      </c>
      <c r="F510" t="s">
        <v>19</v>
      </c>
      <c r="G510" t="s">
        <v>14</v>
      </c>
      <c r="H510" t="s">
        <v>18</v>
      </c>
      <c r="I510">
        <v>2</v>
      </c>
      <c r="J510" t="s">
        <v>26</v>
      </c>
      <c r="K510" t="s">
        <v>32</v>
      </c>
      <c r="L510">
        <v>29</v>
      </c>
      <c r="M510" t="str">
        <f t="shared" si="7"/>
        <v>Adolenece</v>
      </c>
      <c r="N510" t="s">
        <v>18</v>
      </c>
    </row>
    <row r="511" spans="1:14" x14ac:dyDescent="0.35">
      <c r="A511">
        <v>24357</v>
      </c>
      <c r="B511" t="s">
        <v>36</v>
      </c>
      <c r="C511" t="s">
        <v>40</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40</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40</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age",IF(L515&lt;31,"Adolenece","Invalid")))</f>
        <v>Old</v>
      </c>
      <c r="N515" t="s">
        <v>15</v>
      </c>
    </row>
    <row r="516" spans="1:14" x14ac:dyDescent="0.35">
      <c r="A516">
        <v>19399</v>
      </c>
      <c r="B516" t="s">
        <v>37</v>
      </c>
      <c r="C516" t="s">
        <v>40</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40</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40</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40</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40</v>
      </c>
      <c r="D523" s="3">
        <v>40000</v>
      </c>
      <c r="E523">
        <v>4</v>
      </c>
      <c r="F523" t="s">
        <v>27</v>
      </c>
      <c r="G523" t="s">
        <v>21</v>
      </c>
      <c r="H523" t="s">
        <v>15</v>
      </c>
      <c r="I523">
        <v>2</v>
      </c>
      <c r="J523" t="s">
        <v>47</v>
      </c>
      <c r="K523" t="s">
        <v>32</v>
      </c>
      <c r="L523">
        <v>62</v>
      </c>
      <c r="M523" t="str">
        <f t="shared" si="8"/>
        <v>Old</v>
      </c>
      <c r="N523" t="s">
        <v>15</v>
      </c>
    </row>
    <row r="524" spans="1:14" x14ac:dyDescent="0.35">
      <c r="A524">
        <v>19413</v>
      </c>
      <c r="B524" t="s">
        <v>37</v>
      </c>
      <c r="C524" t="s">
        <v>40</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40</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40</v>
      </c>
      <c r="D527" s="3">
        <v>60000</v>
      </c>
      <c r="E527">
        <v>5</v>
      </c>
      <c r="F527" t="s">
        <v>13</v>
      </c>
      <c r="G527" t="s">
        <v>28</v>
      </c>
      <c r="H527" t="s">
        <v>15</v>
      </c>
      <c r="I527">
        <v>3</v>
      </c>
      <c r="J527" t="s">
        <v>47</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40</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Adolenece</v>
      </c>
      <c r="N530" t="s">
        <v>18</v>
      </c>
    </row>
    <row r="531" spans="1:14" x14ac:dyDescent="0.35">
      <c r="A531">
        <v>13233</v>
      </c>
      <c r="B531" t="s">
        <v>36</v>
      </c>
      <c r="C531" t="s">
        <v>40</v>
      </c>
      <c r="D531" s="3">
        <v>60000</v>
      </c>
      <c r="E531">
        <v>2</v>
      </c>
      <c r="F531" t="s">
        <v>19</v>
      </c>
      <c r="G531" t="s">
        <v>21</v>
      </c>
      <c r="H531" t="s">
        <v>15</v>
      </c>
      <c r="I531">
        <v>1</v>
      </c>
      <c r="J531" t="s">
        <v>47</v>
      </c>
      <c r="K531" t="s">
        <v>32</v>
      </c>
      <c r="L531">
        <v>57</v>
      </c>
      <c r="M531" t="str">
        <f t="shared" si="8"/>
        <v>Old</v>
      </c>
      <c r="N531" t="s">
        <v>15</v>
      </c>
    </row>
    <row r="532" spans="1:14" x14ac:dyDescent="0.35">
      <c r="A532">
        <v>25909</v>
      </c>
      <c r="B532" t="s">
        <v>36</v>
      </c>
      <c r="C532" t="s">
        <v>40</v>
      </c>
      <c r="D532" s="3">
        <v>60000</v>
      </c>
      <c r="E532">
        <v>0</v>
      </c>
      <c r="F532" t="s">
        <v>19</v>
      </c>
      <c r="G532" t="s">
        <v>14</v>
      </c>
      <c r="H532" t="s">
        <v>15</v>
      </c>
      <c r="I532">
        <v>1</v>
      </c>
      <c r="J532" t="s">
        <v>23</v>
      </c>
      <c r="K532" t="s">
        <v>32</v>
      </c>
      <c r="L532">
        <v>27</v>
      </c>
      <c r="M532" t="str">
        <f t="shared" si="8"/>
        <v>Adolenece</v>
      </c>
      <c r="N532" t="s">
        <v>15</v>
      </c>
    </row>
    <row r="533" spans="1:14" x14ac:dyDescent="0.35">
      <c r="A533">
        <v>14092</v>
      </c>
      <c r="B533" t="s">
        <v>37</v>
      </c>
      <c r="C533" t="s">
        <v>40</v>
      </c>
      <c r="D533" s="3">
        <v>30000</v>
      </c>
      <c r="E533">
        <v>0</v>
      </c>
      <c r="F533" t="s">
        <v>29</v>
      </c>
      <c r="G533" t="s">
        <v>20</v>
      </c>
      <c r="H533" t="s">
        <v>15</v>
      </c>
      <c r="I533">
        <v>2</v>
      </c>
      <c r="J533" t="s">
        <v>23</v>
      </c>
      <c r="K533" t="s">
        <v>32</v>
      </c>
      <c r="L533">
        <v>28</v>
      </c>
      <c r="M533" t="str">
        <f t="shared" si="8"/>
        <v>Adolenece</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40</v>
      </c>
      <c r="D535" s="3">
        <v>60000</v>
      </c>
      <c r="E535">
        <v>3</v>
      </c>
      <c r="F535" t="s">
        <v>13</v>
      </c>
      <c r="G535" t="s">
        <v>28</v>
      </c>
      <c r="H535" t="s">
        <v>15</v>
      </c>
      <c r="I535">
        <v>2</v>
      </c>
      <c r="J535" t="s">
        <v>47</v>
      </c>
      <c r="K535" t="s">
        <v>32</v>
      </c>
      <c r="L535">
        <v>66</v>
      </c>
      <c r="M535" t="str">
        <f t="shared" si="8"/>
        <v>Old</v>
      </c>
      <c r="N535" t="s">
        <v>18</v>
      </c>
    </row>
    <row r="536" spans="1:14" x14ac:dyDescent="0.35">
      <c r="A536">
        <v>24637</v>
      </c>
      <c r="B536" t="s">
        <v>36</v>
      </c>
      <c r="C536" t="s">
        <v>40</v>
      </c>
      <c r="D536" s="3">
        <v>40000</v>
      </c>
      <c r="E536">
        <v>4</v>
      </c>
      <c r="F536" t="s">
        <v>27</v>
      </c>
      <c r="G536" t="s">
        <v>21</v>
      </c>
      <c r="H536" t="s">
        <v>15</v>
      </c>
      <c r="I536">
        <v>2</v>
      </c>
      <c r="J536" t="s">
        <v>47</v>
      </c>
      <c r="K536" t="s">
        <v>32</v>
      </c>
      <c r="L536">
        <v>64</v>
      </c>
      <c r="M536" t="str">
        <f t="shared" si="8"/>
        <v>Old</v>
      </c>
      <c r="N536" t="s">
        <v>18</v>
      </c>
    </row>
    <row r="537" spans="1:14" x14ac:dyDescent="0.35">
      <c r="A537">
        <v>23893</v>
      </c>
      <c r="B537" t="s">
        <v>36</v>
      </c>
      <c r="C537" t="s">
        <v>40</v>
      </c>
      <c r="D537" s="3">
        <v>50000</v>
      </c>
      <c r="E537">
        <v>3</v>
      </c>
      <c r="F537" t="s">
        <v>13</v>
      </c>
      <c r="G537" t="s">
        <v>14</v>
      </c>
      <c r="H537" t="s">
        <v>15</v>
      </c>
      <c r="I537">
        <v>3</v>
      </c>
      <c r="J537" t="s">
        <v>47</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40</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40</v>
      </c>
      <c r="D544" s="3">
        <v>40000</v>
      </c>
      <c r="E544">
        <v>0</v>
      </c>
      <c r="F544" t="s">
        <v>27</v>
      </c>
      <c r="G544" t="s">
        <v>14</v>
      </c>
      <c r="H544" t="s">
        <v>15</v>
      </c>
      <c r="I544">
        <v>2</v>
      </c>
      <c r="J544" t="s">
        <v>23</v>
      </c>
      <c r="K544" t="s">
        <v>32</v>
      </c>
      <c r="L544">
        <v>29</v>
      </c>
      <c r="M544" t="str">
        <f t="shared" si="8"/>
        <v>Adolenece</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40</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40</v>
      </c>
      <c r="D547" s="3">
        <v>60000</v>
      </c>
      <c r="E547">
        <v>0</v>
      </c>
      <c r="F547" t="s">
        <v>19</v>
      </c>
      <c r="G547" t="s">
        <v>14</v>
      </c>
      <c r="H547" t="s">
        <v>18</v>
      </c>
      <c r="I547">
        <v>2</v>
      </c>
      <c r="J547" t="s">
        <v>26</v>
      </c>
      <c r="K547" t="s">
        <v>32</v>
      </c>
      <c r="L547">
        <v>29</v>
      </c>
      <c r="M547" t="str">
        <f t="shared" si="8"/>
        <v>Adolenece</v>
      </c>
      <c r="N547" t="s">
        <v>18</v>
      </c>
    </row>
    <row r="548" spans="1:14" x14ac:dyDescent="0.35">
      <c r="A548">
        <v>15529</v>
      </c>
      <c r="B548" t="s">
        <v>36</v>
      </c>
      <c r="C548" t="s">
        <v>40</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40</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5">
      <c r="A554">
        <v>14417</v>
      </c>
      <c r="B554" t="s">
        <v>37</v>
      </c>
      <c r="C554" t="s">
        <v>40</v>
      </c>
      <c r="D554" s="3">
        <v>60000</v>
      </c>
      <c r="E554">
        <v>3</v>
      </c>
      <c r="F554" t="s">
        <v>27</v>
      </c>
      <c r="G554" t="s">
        <v>21</v>
      </c>
      <c r="H554" t="s">
        <v>15</v>
      </c>
      <c r="I554">
        <v>2</v>
      </c>
      <c r="J554" t="s">
        <v>47</v>
      </c>
      <c r="K554" t="s">
        <v>32</v>
      </c>
      <c r="L554">
        <v>54</v>
      </c>
      <c r="M554" t="str">
        <f t="shared" si="8"/>
        <v>Middle age</v>
      </c>
      <c r="N554" t="s">
        <v>15</v>
      </c>
    </row>
    <row r="555" spans="1:14" x14ac:dyDescent="0.35">
      <c r="A555">
        <v>17533</v>
      </c>
      <c r="B555" t="s">
        <v>36</v>
      </c>
      <c r="C555" t="s">
        <v>40</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40</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40</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Adolenece</v>
      </c>
      <c r="N565" t="s">
        <v>18</v>
      </c>
    </row>
    <row r="566" spans="1:14" x14ac:dyDescent="0.35">
      <c r="A566">
        <v>17369</v>
      </c>
      <c r="B566" t="s">
        <v>37</v>
      </c>
      <c r="C566" t="s">
        <v>40</v>
      </c>
      <c r="D566" s="3">
        <v>30000</v>
      </c>
      <c r="E566">
        <v>0</v>
      </c>
      <c r="F566" t="s">
        <v>19</v>
      </c>
      <c r="G566" t="s">
        <v>14</v>
      </c>
      <c r="H566" t="s">
        <v>15</v>
      </c>
      <c r="I566">
        <v>1</v>
      </c>
      <c r="J566" t="s">
        <v>23</v>
      </c>
      <c r="K566" t="s">
        <v>32</v>
      </c>
      <c r="L566">
        <v>27</v>
      </c>
      <c r="M566" t="str">
        <f t="shared" si="8"/>
        <v>Adolenece</v>
      </c>
      <c r="N566" t="s">
        <v>18</v>
      </c>
    </row>
    <row r="567" spans="1:14" x14ac:dyDescent="0.35">
      <c r="A567">
        <v>14495</v>
      </c>
      <c r="B567" t="s">
        <v>36</v>
      </c>
      <c r="C567" t="s">
        <v>40</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40</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40</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40</v>
      </c>
      <c r="D571" s="3">
        <v>50000</v>
      </c>
      <c r="E571">
        <v>3</v>
      </c>
      <c r="F571" t="s">
        <v>31</v>
      </c>
      <c r="G571" t="s">
        <v>28</v>
      </c>
      <c r="H571" t="s">
        <v>15</v>
      </c>
      <c r="I571">
        <v>2</v>
      </c>
      <c r="J571" t="s">
        <v>47</v>
      </c>
      <c r="K571" t="s">
        <v>32</v>
      </c>
      <c r="L571">
        <v>69</v>
      </c>
      <c r="M571" t="str">
        <f t="shared" si="8"/>
        <v>Old</v>
      </c>
      <c r="N571" t="s">
        <v>18</v>
      </c>
    </row>
    <row r="572" spans="1:14" x14ac:dyDescent="0.35">
      <c r="A572">
        <v>20370</v>
      </c>
      <c r="B572" t="s">
        <v>36</v>
      </c>
      <c r="C572" t="s">
        <v>40</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40</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40</v>
      </c>
      <c r="D574" s="3">
        <v>30000</v>
      </c>
      <c r="E574">
        <v>0</v>
      </c>
      <c r="F574" t="s">
        <v>27</v>
      </c>
      <c r="G574" t="s">
        <v>14</v>
      </c>
      <c r="H574" t="s">
        <v>15</v>
      </c>
      <c r="I574">
        <v>2</v>
      </c>
      <c r="J574" t="s">
        <v>23</v>
      </c>
      <c r="K574" t="s">
        <v>32</v>
      </c>
      <c r="L574">
        <v>30</v>
      </c>
      <c r="M574" t="str">
        <f t="shared" si="8"/>
        <v>Adolenece</v>
      </c>
      <c r="N574" t="s">
        <v>18</v>
      </c>
    </row>
    <row r="575" spans="1:14" x14ac:dyDescent="0.35">
      <c r="A575">
        <v>21751</v>
      </c>
      <c r="B575" t="s">
        <v>36</v>
      </c>
      <c r="C575" t="s">
        <v>40</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40</v>
      </c>
      <c r="D577" s="3">
        <v>60000</v>
      </c>
      <c r="E577">
        <v>2</v>
      </c>
      <c r="F577" t="s">
        <v>19</v>
      </c>
      <c r="G577" t="s">
        <v>21</v>
      </c>
      <c r="H577" t="s">
        <v>15</v>
      </c>
      <c r="I577">
        <v>1</v>
      </c>
      <c r="J577" t="s">
        <v>47</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40</v>
      </c>
      <c r="D579" s="3">
        <v>120000</v>
      </c>
      <c r="E579">
        <v>1</v>
      </c>
      <c r="F579" t="s">
        <v>13</v>
      </c>
      <c r="G579" t="s">
        <v>28</v>
      </c>
      <c r="H579" t="s">
        <v>15</v>
      </c>
      <c r="I579">
        <v>4</v>
      </c>
      <c r="J579" t="s">
        <v>16</v>
      </c>
      <c r="K579" t="s">
        <v>32</v>
      </c>
      <c r="L579">
        <v>38</v>
      </c>
      <c r="M579" t="str">
        <f t="shared" ref="M579:M642" si="9">IF(L579&gt;54,"Old",IF(L579&gt;=31,"Middle age",IF(L579&lt;31,"Adolenece","Invalid")))</f>
        <v>Middle age</v>
      </c>
      <c r="N579" t="s">
        <v>18</v>
      </c>
    </row>
    <row r="580" spans="1:14" x14ac:dyDescent="0.35">
      <c r="A580">
        <v>15313</v>
      </c>
      <c r="B580" t="s">
        <v>36</v>
      </c>
      <c r="C580" t="s">
        <v>40</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5">
      <c r="A583">
        <v>23089</v>
      </c>
      <c r="B583" t="s">
        <v>36</v>
      </c>
      <c r="C583" t="s">
        <v>40</v>
      </c>
      <c r="D583" s="3">
        <v>40000</v>
      </c>
      <c r="E583">
        <v>0</v>
      </c>
      <c r="F583" t="s">
        <v>19</v>
      </c>
      <c r="G583" t="s">
        <v>14</v>
      </c>
      <c r="H583" t="s">
        <v>15</v>
      </c>
      <c r="I583">
        <v>1</v>
      </c>
      <c r="J583" t="s">
        <v>23</v>
      </c>
      <c r="K583" t="s">
        <v>32</v>
      </c>
      <c r="L583">
        <v>28</v>
      </c>
      <c r="M583" t="str">
        <f t="shared" si="9"/>
        <v>Adolenece</v>
      </c>
      <c r="N583" t="s">
        <v>18</v>
      </c>
    </row>
    <row r="584" spans="1:14" x14ac:dyDescent="0.35">
      <c r="A584">
        <v>13749</v>
      </c>
      <c r="B584" t="s">
        <v>36</v>
      </c>
      <c r="C584" t="s">
        <v>40</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40</v>
      </c>
      <c r="D585" s="3">
        <v>60000</v>
      </c>
      <c r="E585">
        <v>3</v>
      </c>
      <c r="F585" t="s">
        <v>13</v>
      </c>
      <c r="G585" t="s">
        <v>28</v>
      </c>
      <c r="H585" t="s">
        <v>15</v>
      </c>
      <c r="I585">
        <v>2</v>
      </c>
      <c r="J585" t="s">
        <v>47</v>
      </c>
      <c r="K585" t="s">
        <v>32</v>
      </c>
      <c r="L585">
        <v>66</v>
      </c>
      <c r="M585" t="str">
        <f t="shared" si="9"/>
        <v>Old</v>
      </c>
      <c r="N585" t="s">
        <v>18</v>
      </c>
    </row>
    <row r="586" spans="1:14" x14ac:dyDescent="0.35">
      <c r="A586">
        <v>28667</v>
      </c>
      <c r="B586" t="s">
        <v>37</v>
      </c>
      <c r="C586" t="s">
        <v>40</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40</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40</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5">
      <c r="A591">
        <v>12100</v>
      </c>
      <c r="B591" t="s">
        <v>37</v>
      </c>
      <c r="C591" t="s">
        <v>40</v>
      </c>
      <c r="D591" s="3">
        <v>60000</v>
      </c>
      <c r="E591">
        <v>2</v>
      </c>
      <c r="F591" t="s">
        <v>13</v>
      </c>
      <c r="G591" t="s">
        <v>28</v>
      </c>
      <c r="H591" t="s">
        <v>15</v>
      </c>
      <c r="I591">
        <v>0</v>
      </c>
      <c r="J591" t="s">
        <v>47</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40</v>
      </c>
      <c r="D593" s="3">
        <v>40000</v>
      </c>
      <c r="E593">
        <v>4</v>
      </c>
      <c r="F593" t="s">
        <v>27</v>
      </c>
      <c r="G593" t="s">
        <v>21</v>
      </c>
      <c r="H593" t="s">
        <v>18</v>
      </c>
      <c r="I593">
        <v>2</v>
      </c>
      <c r="J593" t="s">
        <v>47</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40</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40</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40</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40</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40</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40</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40</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40</v>
      </c>
      <c r="D606" s="3">
        <v>40000</v>
      </c>
      <c r="E606">
        <v>0</v>
      </c>
      <c r="F606" t="s">
        <v>27</v>
      </c>
      <c r="G606" t="s">
        <v>14</v>
      </c>
      <c r="H606" t="s">
        <v>15</v>
      </c>
      <c r="I606">
        <v>2</v>
      </c>
      <c r="J606" t="s">
        <v>23</v>
      </c>
      <c r="K606" t="s">
        <v>32</v>
      </c>
      <c r="L606">
        <v>27</v>
      </c>
      <c r="M606" t="str">
        <f t="shared" si="9"/>
        <v>Adolenece</v>
      </c>
      <c r="N606" t="s">
        <v>18</v>
      </c>
    </row>
    <row r="607" spans="1:14" x14ac:dyDescent="0.35">
      <c r="A607">
        <v>17458</v>
      </c>
      <c r="B607" t="s">
        <v>37</v>
      </c>
      <c r="C607" t="s">
        <v>40</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40</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5">
      <c r="A610">
        <v>16890</v>
      </c>
      <c r="B610" t="s">
        <v>36</v>
      </c>
      <c r="C610" t="s">
        <v>40</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40</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40</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Adolenece</v>
      </c>
      <c r="N614" t="s">
        <v>18</v>
      </c>
    </row>
    <row r="615" spans="1:14" x14ac:dyDescent="0.35">
      <c r="A615">
        <v>25184</v>
      </c>
      <c r="B615" t="s">
        <v>37</v>
      </c>
      <c r="C615" t="s">
        <v>40</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40</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Adolenece</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40</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40</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Adolenece</v>
      </c>
      <c r="N626" t="s">
        <v>15</v>
      </c>
    </row>
    <row r="627" spans="1:14" x14ac:dyDescent="0.35">
      <c r="A627">
        <v>22127</v>
      </c>
      <c r="B627" t="s">
        <v>36</v>
      </c>
      <c r="C627" t="s">
        <v>40</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Adolenece</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40</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40</v>
      </c>
      <c r="D632" s="3">
        <v>40000</v>
      </c>
      <c r="E632">
        <v>0</v>
      </c>
      <c r="F632" t="s">
        <v>27</v>
      </c>
      <c r="G632" t="s">
        <v>14</v>
      </c>
      <c r="H632" t="s">
        <v>18</v>
      </c>
      <c r="I632">
        <v>2</v>
      </c>
      <c r="J632" t="s">
        <v>26</v>
      </c>
      <c r="K632" t="s">
        <v>32</v>
      </c>
      <c r="L632">
        <v>30</v>
      </c>
      <c r="M632" t="str">
        <f t="shared" si="9"/>
        <v>Adolenece</v>
      </c>
      <c r="N632" t="s">
        <v>18</v>
      </c>
    </row>
    <row r="633" spans="1:14" x14ac:dyDescent="0.35">
      <c r="A633">
        <v>27643</v>
      </c>
      <c r="B633" t="s">
        <v>37</v>
      </c>
      <c r="C633" t="s">
        <v>40</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40</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40</v>
      </c>
      <c r="D639" s="3">
        <v>40000</v>
      </c>
      <c r="E639">
        <v>0</v>
      </c>
      <c r="F639" t="s">
        <v>27</v>
      </c>
      <c r="G639" t="s">
        <v>14</v>
      </c>
      <c r="H639" t="s">
        <v>18</v>
      </c>
      <c r="I639">
        <v>2</v>
      </c>
      <c r="J639" t="s">
        <v>26</v>
      </c>
      <c r="K639" t="s">
        <v>32</v>
      </c>
      <c r="L639">
        <v>30</v>
      </c>
      <c r="M639" t="str">
        <f t="shared" si="9"/>
        <v>Adolenece</v>
      </c>
      <c r="N639" t="s">
        <v>18</v>
      </c>
    </row>
    <row r="640" spans="1:14" x14ac:dyDescent="0.35">
      <c r="A640">
        <v>18949</v>
      </c>
      <c r="B640" t="s">
        <v>37</v>
      </c>
      <c r="C640" t="s">
        <v>40</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40</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40</v>
      </c>
      <c r="D643" s="3">
        <v>50000</v>
      </c>
      <c r="E643">
        <v>4</v>
      </c>
      <c r="F643" t="s">
        <v>13</v>
      </c>
      <c r="G643" t="s">
        <v>28</v>
      </c>
      <c r="H643" t="s">
        <v>15</v>
      </c>
      <c r="I643">
        <v>2</v>
      </c>
      <c r="J643" t="s">
        <v>47</v>
      </c>
      <c r="K643" t="s">
        <v>32</v>
      </c>
      <c r="L643">
        <v>64</v>
      </c>
      <c r="M643" t="str">
        <f t="shared" ref="M643:M706" si="10">IF(L643&gt;54,"Old",IF(L643&gt;=31,"Middle age",IF(L643&lt;31,"Adolenece","Invalid")))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40</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5">
      <c r="A653">
        <v>14284</v>
      </c>
      <c r="B653" t="s">
        <v>37</v>
      </c>
      <c r="C653" t="s">
        <v>40</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40</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40</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40</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40</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40</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40</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40</v>
      </c>
      <c r="D663" s="3">
        <v>40000</v>
      </c>
      <c r="E663">
        <v>0</v>
      </c>
      <c r="F663" t="s">
        <v>27</v>
      </c>
      <c r="G663" t="s">
        <v>14</v>
      </c>
      <c r="H663" t="s">
        <v>18</v>
      </c>
      <c r="I663">
        <v>2</v>
      </c>
      <c r="J663" t="s">
        <v>16</v>
      </c>
      <c r="K663" t="s">
        <v>32</v>
      </c>
      <c r="L663">
        <v>28</v>
      </c>
      <c r="M663" t="str">
        <f t="shared" si="10"/>
        <v>Adolenece</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40</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40</v>
      </c>
      <c r="D672" s="3">
        <v>70000</v>
      </c>
      <c r="E672">
        <v>2</v>
      </c>
      <c r="F672" t="s">
        <v>19</v>
      </c>
      <c r="G672" t="s">
        <v>21</v>
      </c>
      <c r="H672" t="s">
        <v>15</v>
      </c>
      <c r="I672">
        <v>1</v>
      </c>
      <c r="J672" t="s">
        <v>47</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Adolenece</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40</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40</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40</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40</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40</v>
      </c>
      <c r="D681" s="3">
        <v>60000</v>
      </c>
      <c r="E681">
        <v>4</v>
      </c>
      <c r="F681" t="s">
        <v>13</v>
      </c>
      <c r="G681" t="s">
        <v>28</v>
      </c>
      <c r="H681" t="s">
        <v>15</v>
      </c>
      <c r="I681">
        <v>2</v>
      </c>
      <c r="J681" t="s">
        <v>47</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40</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40</v>
      </c>
      <c r="D689" s="3">
        <v>30000</v>
      </c>
      <c r="E689">
        <v>0</v>
      </c>
      <c r="F689" t="s">
        <v>19</v>
      </c>
      <c r="G689" t="s">
        <v>14</v>
      </c>
      <c r="H689" t="s">
        <v>15</v>
      </c>
      <c r="I689">
        <v>2</v>
      </c>
      <c r="J689" t="s">
        <v>23</v>
      </c>
      <c r="K689" t="s">
        <v>32</v>
      </c>
      <c r="L689">
        <v>30</v>
      </c>
      <c r="M689" t="str">
        <f t="shared" si="10"/>
        <v>Adolenece</v>
      </c>
      <c r="N689" t="s">
        <v>18</v>
      </c>
    </row>
    <row r="690" spans="1:14" x14ac:dyDescent="0.35">
      <c r="A690">
        <v>11699</v>
      </c>
      <c r="B690" t="s">
        <v>37</v>
      </c>
      <c r="C690" t="s">
        <v>40</v>
      </c>
      <c r="D690" s="3">
        <v>60000</v>
      </c>
      <c r="E690">
        <v>0</v>
      </c>
      <c r="F690" t="s">
        <v>13</v>
      </c>
      <c r="G690" t="s">
        <v>14</v>
      </c>
      <c r="H690" t="s">
        <v>18</v>
      </c>
      <c r="I690">
        <v>2</v>
      </c>
      <c r="J690" t="s">
        <v>16</v>
      </c>
      <c r="K690" t="s">
        <v>32</v>
      </c>
      <c r="L690">
        <v>30</v>
      </c>
      <c r="M690" t="str">
        <f t="shared" si="10"/>
        <v>Adolenece</v>
      </c>
      <c r="N690" t="s">
        <v>18</v>
      </c>
    </row>
    <row r="691" spans="1:14" x14ac:dyDescent="0.35">
      <c r="A691">
        <v>16725</v>
      </c>
      <c r="B691" t="s">
        <v>36</v>
      </c>
      <c r="C691" t="s">
        <v>40</v>
      </c>
      <c r="D691" s="3">
        <v>30000</v>
      </c>
      <c r="E691">
        <v>0</v>
      </c>
      <c r="F691" t="s">
        <v>27</v>
      </c>
      <c r="G691" t="s">
        <v>14</v>
      </c>
      <c r="H691" t="s">
        <v>15</v>
      </c>
      <c r="I691">
        <v>2</v>
      </c>
      <c r="J691" t="s">
        <v>23</v>
      </c>
      <c r="K691" t="s">
        <v>32</v>
      </c>
      <c r="L691">
        <v>26</v>
      </c>
      <c r="M691" t="str">
        <f t="shared" si="10"/>
        <v>Adolenece</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40</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40</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40</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40</v>
      </c>
      <c r="D698" s="3">
        <v>60000</v>
      </c>
      <c r="E698">
        <v>0</v>
      </c>
      <c r="F698" t="s">
        <v>19</v>
      </c>
      <c r="G698" t="s">
        <v>21</v>
      </c>
      <c r="H698" t="s">
        <v>18</v>
      </c>
      <c r="I698">
        <v>2</v>
      </c>
      <c r="J698" t="s">
        <v>26</v>
      </c>
      <c r="K698" t="s">
        <v>32</v>
      </c>
      <c r="L698">
        <v>30</v>
      </c>
      <c r="M698" t="str">
        <f t="shared" si="10"/>
        <v>Adolenece</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Adolenece</v>
      </c>
      <c r="N699" t="s">
        <v>18</v>
      </c>
    </row>
    <row r="700" spans="1:14" x14ac:dyDescent="0.35">
      <c r="A700">
        <v>27040</v>
      </c>
      <c r="B700" t="s">
        <v>36</v>
      </c>
      <c r="C700" t="s">
        <v>40</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40</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40</v>
      </c>
      <c r="D703" s="3">
        <v>30000</v>
      </c>
      <c r="E703">
        <v>0</v>
      </c>
      <c r="F703" t="s">
        <v>27</v>
      </c>
      <c r="G703" t="s">
        <v>14</v>
      </c>
      <c r="H703" t="s">
        <v>15</v>
      </c>
      <c r="I703">
        <v>2</v>
      </c>
      <c r="J703" t="s">
        <v>23</v>
      </c>
      <c r="K703" t="s">
        <v>32</v>
      </c>
      <c r="L703">
        <v>26</v>
      </c>
      <c r="M703" t="str">
        <f t="shared" si="10"/>
        <v>Adolenece</v>
      </c>
      <c r="N703" t="s">
        <v>18</v>
      </c>
    </row>
    <row r="704" spans="1:14" x14ac:dyDescent="0.35">
      <c r="A704">
        <v>13314</v>
      </c>
      <c r="B704" t="s">
        <v>36</v>
      </c>
      <c r="C704" t="s">
        <v>40</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age",IF(L707&lt;31,"Adolenece","Invalid")))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40</v>
      </c>
      <c r="D710" s="3">
        <v>70000</v>
      </c>
      <c r="E710">
        <v>5</v>
      </c>
      <c r="F710" t="s">
        <v>13</v>
      </c>
      <c r="G710" t="s">
        <v>28</v>
      </c>
      <c r="H710" t="s">
        <v>15</v>
      </c>
      <c r="I710">
        <v>4</v>
      </c>
      <c r="J710" t="s">
        <v>47</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5">
      <c r="A712">
        <v>23358</v>
      </c>
      <c r="B712" t="s">
        <v>36</v>
      </c>
      <c r="C712" t="s">
        <v>40</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40</v>
      </c>
      <c r="D716" s="3">
        <v>40000</v>
      </c>
      <c r="E716">
        <v>0</v>
      </c>
      <c r="F716" t="s">
        <v>27</v>
      </c>
      <c r="G716" t="s">
        <v>14</v>
      </c>
      <c r="H716" t="s">
        <v>15</v>
      </c>
      <c r="I716">
        <v>2</v>
      </c>
      <c r="J716" t="s">
        <v>23</v>
      </c>
      <c r="K716" t="s">
        <v>32</v>
      </c>
      <c r="L716">
        <v>28</v>
      </c>
      <c r="M716" t="str">
        <f t="shared" si="11"/>
        <v>Adolenece</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40</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40</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40</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40</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40</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40</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40</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40</v>
      </c>
      <c r="D730" s="3">
        <v>40000</v>
      </c>
      <c r="E730">
        <v>0</v>
      </c>
      <c r="F730" t="s">
        <v>27</v>
      </c>
      <c r="G730" t="s">
        <v>14</v>
      </c>
      <c r="H730" t="s">
        <v>15</v>
      </c>
      <c r="I730">
        <v>2</v>
      </c>
      <c r="J730" t="s">
        <v>23</v>
      </c>
      <c r="K730" t="s">
        <v>32</v>
      </c>
      <c r="L730">
        <v>27</v>
      </c>
      <c r="M730" t="str">
        <f t="shared" si="11"/>
        <v>Adolenece</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40</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40</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Adolenece</v>
      </c>
      <c r="N737" t="s">
        <v>18</v>
      </c>
    </row>
    <row r="738" spans="1:14" x14ac:dyDescent="0.35">
      <c r="A738">
        <v>19634</v>
      </c>
      <c r="B738" t="s">
        <v>36</v>
      </c>
      <c r="C738" t="s">
        <v>40</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40</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5">
      <c r="A742">
        <v>17657</v>
      </c>
      <c r="B742" t="s">
        <v>36</v>
      </c>
      <c r="C742" t="s">
        <v>40</v>
      </c>
      <c r="D742" s="3">
        <v>40000</v>
      </c>
      <c r="E742">
        <v>4</v>
      </c>
      <c r="F742" t="s">
        <v>19</v>
      </c>
      <c r="G742" t="s">
        <v>20</v>
      </c>
      <c r="H742" t="s">
        <v>18</v>
      </c>
      <c r="I742">
        <v>0</v>
      </c>
      <c r="J742" t="s">
        <v>16</v>
      </c>
      <c r="K742" t="s">
        <v>32</v>
      </c>
      <c r="L742">
        <v>30</v>
      </c>
      <c r="M742" t="str">
        <f t="shared" si="11"/>
        <v>Adolenece</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40</v>
      </c>
      <c r="D744" s="3">
        <v>30000</v>
      </c>
      <c r="E744">
        <v>0</v>
      </c>
      <c r="F744" t="s">
        <v>27</v>
      </c>
      <c r="G744" t="s">
        <v>14</v>
      </c>
      <c r="H744" t="s">
        <v>15</v>
      </c>
      <c r="I744">
        <v>2</v>
      </c>
      <c r="J744" t="s">
        <v>23</v>
      </c>
      <c r="K744" t="s">
        <v>32</v>
      </c>
      <c r="L744">
        <v>30</v>
      </c>
      <c r="M744" t="str">
        <f t="shared" si="11"/>
        <v>Adolenece</v>
      </c>
      <c r="N744" t="s">
        <v>18</v>
      </c>
    </row>
    <row r="745" spans="1:14" x14ac:dyDescent="0.35">
      <c r="A745">
        <v>13296</v>
      </c>
      <c r="B745" t="s">
        <v>36</v>
      </c>
      <c r="C745" t="s">
        <v>40</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5">
      <c r="A747">
        <v>12452</v>
      </c>
      <c r="B747" t="s">
        <v>36</v>
      </c>
      <c r="C747" t="s">
        <v>40</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40</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40</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40</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40</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Adolenece</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40</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40</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40</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40</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5">
      <c r="A764">
        <v>20657</v>
      </c>
      <c r="B764" t="s">
        <v>37</v>
      </c>
      <c r="C764" t="s">
        <v>40</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40</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Adolenece</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40</v>
      </c>
      <c r="D768" s="3">
        <v>50000</v>
      </c>
      <c r="E768">
        <v>4</v>
      </c>
      <c r="F768" t="s">
        <v>13</v>
      </c>
      <c r="G768" t="s">
        <v>14</v>
      </c>
      <c r="H768" t="s">
        <v>15</v>
      </c>
      <c r="I768">
        <v>3</v>
      </c>
      <c r="J768" t="s">
        <v>47</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age",IF(L771&lt;31,"Adolenece","Invalid")))</f>
        <v>Middle age</v>
      </c>
      <c r="N771" t="s">
        <v>18</v>
      </c>
    </row>
    <row r="772" spans="1:14" x14ac:dyDescent="0.35">
      <c r="A772">
        <v>17699</v>
      </c>
      <c r="B772" t="s">
        <v>36</v>
      </c>
      <c r="C772" t="s">
        <v>40</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40</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40</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40</v>
      </c>
      <c r="D777" s="3">
        <v>70000</v>
      </c>
      <c r="E777">
        <v>2</v>
      </c>
      <c r="F777" t="s">
        <v>29</v>
      </c>
      <c r="G777" t="s">
        <v>14</v>
      </c>
      <c r="H777" t="s">
        <v>15</v>
      </c>
      <c r="I777">
        <v>2</v>
      </c>
      <c r="J777" t="s">
        <v>47</v>
      </c>
      <c r="K777" t="s">
        <v>32</v>
      </c>
      <c r="L777">
        <v>54</v>
      </c>
      <c r="M777" t="str">
        <f t="shared" si="12"/>
        <v>Middle age</v>
      </c>
      <c r="N777" t="s">
        <v>18</v>
      </c>
    </row>
    <row r="778" spans="1:14" x14ac:dyDescent="0.35">
      <c r="A778">
        <v>26490</v>
      </c>
      <c r="B778" t="s">
        <v>37</v>
      </c>
      <c r="C778" t="s">
        <v>40</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40</v>
      </c>
      <c r="D779" s="3">
        <v>40000</v>
      </c>
      <c r="E779">
        <v>0</v>
      </c>
      <c r="F779" t="s">
        <v>27</v>
      </c>
      <c r="G779" t="s">
        <v>14</v>
      </c>
      <c r="H779" t="s">
        <v>15</v>
      </c>
      <c r="I779">
        <v>2</v>
      </c>
      <c r="J779" t="s">
        <v>23</v>
      </c>
      <c r="K779" t="s">
        <v>32</v>
      </c>
      <c r="L779">
        <v>27</v>
      </c>
      <c r="M779" t="str">
        <f t="shared" si="12"/>
        <v>Adolenece</v>
      </c>
      <c r="N779" t="s">
        <v>18</v>
      </c>
    </row>
    <row r="780" spans="1:14" x14ac:dyDescent="0.35">
      <c r="A780">
        <v>17260</v>
      </c>
      <c r="B780" t="s">
        <v>36</v>
      </c>
      <c r="C780" t="s">
        <v>40</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40</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5">
      <c r="A783">
        <v>19660</v>
      </c>
      <c r="B783" t="s">
        <v>36</v>
      </c>
      <c r="C783" t="s">
        <v>40</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40</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40</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Adolenece</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40</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40</v>
      </c>
      <c r="D793" s="3">
        <v>40000</v>
      </c>
      <c r="E793">
        <v>0</v>
      </c>
      <c r="F793" t="s">
        <v>27</v>
      </c>
      <c r="G793" t="s">
        <v>14</v>
      </c>
      <c r="H793" t="s">
        <v>15</v>
      </c>
      <c r="I793">
        <v>2</v>
      </c>
      <c r="J793" t="s">
        <v>23</v>
      </c>
      <c r="K793" t="s">
        <v>32</v>
      </c>
      <c r="L793">
        <v>28</v>
      </c>
      <c r="M793" t="str">
        <f t="shared" si="12"/>
        <v>Adolenece</v>
      </c>
      <c r="N793" t="s">
        <v>15</v>
      </c>
    </row>
    <row r="794" spans="1:14" x14ac:dyDescent="0.35">
      <c r="A794">
        <v>23256</v>
      </c>
      <c r="B794" t="s">
        <v>37</v>
      </c>
      <c r="C794" t="s">
        <v>40</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40</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40</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40</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40</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40</v>
      </c>
      <c r="D799" s="3">
        <v>60000</v>
      </c>
      <c r="E799">
        <v>0</v>
      </c>
      <c r="F799" t="s">
        <v>19</v>
      </c>
      <c r="G799" t="s">
        <v>14</v>
      </c>
      <c r="H799" t="s">
        <v>15</v>
      </c>
      <c r="I799">
        <v>1</v>
      </c>
      <c r="J799" t="s">
        <v>23</v>
      </c>
      <c r="K799" t="s">
        <v>32</v>
      </c>
      <c r="L799">
        <v>27</v>
      </c>
      <c r="M799" t="str">
        <f t="shared" si="12"/>
        <v>Adolenece</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Adolenece</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40</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40</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40</v>
      </c>
      <c r="D804" s="3">
        <v>40000</v>
      </c>
      <c r="E804">
        <v>0</v>
      </c>
      <c r="F804" t="s">
        <v>19</v>
      </c>
      <c r="G804" t="s">
        <v>14</v>
      </c>
      <c r="H804" t="s">
        <v>15</v>
      </c>
      <c r="I804">
        <v>1</v>
      </c>
      <c r="J804" t="s">
        <v>23</v>
      </c>
      <c r="K804" t="s">
        <v>32</v>
      </c>
      <c r="L804">
        <v>27</v>
      </c>
      <c r="M804" t="str">
        <f t="shared" si="12"/>
        <v>Adolenece</v>
      </c>
      <c r="N804" t="s">
        <v>18</v>
      </c>
    </row>
    <row r="805" spans="1:14" x14ac:dyDescent="0.35">
      <c r="A805">
        <v>15255</v>
      </c>
      <c r="B805" t="s">
        <v>36</v>
      </c>
      <c r="C805" t="s">
        <v>40</v>
      </c>
      <c r="D805" s="3">
        <v>40000</v>
      </c>
      <c r="E805">
        <v>0</v>
      </c>
      <c r="F805" t="s">
        <v>27</v>
      </c>
      <c r="G805" t="s">
        <v>14</v>
      </c>
      <c r="H805" t="s">
        <v>15</v>
      </c>
      <c r="I805">
        <v>2</v>
      </c>
      <c r="J805" t="s">
        <v>23</v>
      </c>
      <c r="K805" t="s">
        <v>32</v>
      </c>
      <c r="L805">
        <v>28</v>
      </c>
      <c r="M805" t="str">
        <f t="shared" si="12"/>
        <v>Adolenece</v>
      </c>
      <c r="N805" t="s">
        <v>15</v>
      </c>
    </row>
    <row r="806" spans="1:14" x14ac:dyDescent="0.35">
      <c r="A806">
        <v>13154</v>
      </c>
      <c r="B806" t="s">
        <v>36</v>
      </c>
      <c r="C806" t="s">
        <v>40</v>
      </c>
      <c r="D806" s="3">
        <v>40000</v>
      </c>
      <c r="E806">
        <v>0</v>
      </c>
      <c r="F806" t="s">
        <v>27</v>
      </c>
      <c r="G806" t="s">
        <v>14</v>
      </c>
      <c r="H806" t="s">
        <v>18</v>
      </c>
      <c r="I806">
        <v>2</v>
      </c>
      <c r="J806" t="s">
        <v>16</v>
      </c>
      <c r="K806" t="s">
        <v>32</v>
      </c>
      <c r="L806">
        <v>27</v>
      </c>
      <c r="M806" t="str">
        <f t="shared" si="12"/>
        <v>Adolenece</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40</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40</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40</v>
      </c>
      <c r="D817" s="3">
        <v>40000</v>
      </c>
      <c r="E817">
        <v>0</v>
      </c>
      <c r="F817" t="s">
        <v>19</v>
      </c>
      <c r="G817" t="s">
        <v>14</v>
      </c>
      <c r="H817" t="s">
        <v>18</v>
      </c>
      <c r="I817">
        <v>2</v>
      </c>
      <c r="J817" t="s">
        <v>26</v>
      </c>
      <c r="K817" t="s">
        <v>32</v>
      </c>
      <c r="L817">
        <v>30</v>
      </c>
      <c r="M817" t="str">
        <f t="shared" si="12"/>
        <v>Adolenece</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40</v>
      </c>
      <c r="D820" s="3">
        <v>40000</v>
      </c>
      <c r="E820">
        <v>0</v>
      </c>
      <c r="F820" t="s">
        <v>19</v>
      </c>
      <c r="G820" t="s">
        <v>14</v>
      </c>
      <c r="H820" t="s">
        <v>15</v>
      </c>
      <c r="I820">
        <v>1</v>
      </c>
      <c r="J820" t="s">
        <v>23</v>
      </c>
      <c r="K820" t="s">
        <v>32</v>
      </c>
      <c r="L820">
        <v>30</v>
      </c>
      <c r="M820" t="str">
        <f t="shared" si="12"/>
        <v>Adolenece</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Adolenece</v>
      </c>
      <c r="N821" t="s">
        <v>18</v>
      </c>
    </row>
    <row r="822" spans="1:14" x14ac:dyDescent="0.35">
      <c r="A822">
        <v>29243</v>
      </c>
      <c r="B822" t="s">
        <v>37</v>
      </c>
      <c r="C822" t="s">
        <v>40</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40</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40</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40</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40</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40</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Adolenece</v>
      </c>
      <c r="N830" t="s">
        <v>18</v>
      </c>
    </row>
    <row r="831" spans="1:14" x14ac:dyDescent="0.35">
      <c r="A831">
        <v>16009</v>
      </c>
      <c r="B831" t="s">
        <v>37</v>
      </c>
      <c r="C831" t="s">
        <v>40</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40</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age",IF(L835&lt;31,"Adolenece","Invalid")))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Adolenece</v>
      </c>
      <c r="N838" t="s">
        <v>18</v>
      </c>
    </row>
    <row r="839" spans="1:14" x14ac:dyDescent="0.35">
      <c r="A839">
        <v>16773</v>
      </c>
      <c r="B839" t="s">
        <v>36</v>
      </c>
      <c r="C839" t="s">
        <v>40</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40</v>
      </c>
      <c r="D842" s="3">
        <v>70000</v>
      </c>
      <c r="E842">
        <v>4</v>
      </c>
      <c r="F842" t="s">
        <v>19</v>
      </c>
      <c r="G842" t="s">
        <v>21</v>
      </c>
      <c r="H842" t="s">
        <v>15</v>
      </c>
      <c r="I842">
        <v>2</v>
      </c>
      <c r="J842" t="s">
        <v>47</v>
      </c>
      <c r="K842" t="s">
        <v>32</v>
      </c>
      <c r="L842">
        <v>53</v>
      </c>
      <c r="M842" t="str">
        <f t="shared" si="13"/>
        <v>Middle age</v>
      </c>
      <c r="N842" t="s">
        <v>18</v>
      </c>
    </row>
    <row r="843" spans="1:14" x14ac:dyDescent="0.35">
      <c r="A843">
        <v>12056</v>
      </c>
      <c r="B843" t="s">
        <v>36</v>
      </c>
      <c r="C843" t="s">
        <v>40</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40</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Adolenece</v>
      </c>
      <c r="N849" t="s">
        <v>18</v>
      </c>
    </row>
    <row r="850" spans="1:14" x14ac:dyDescent="0.35">
      <c r="A850">
        <v>13176</v>
      </c>
      <c r="B850" t="s">
        <v>37</v>
      </c>
      <c r="C850" t="s">
        <v>40</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40</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40</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40</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40</v>
      </c>
      <c r="D858" s="3">
        <v>40000</v>
      </c>
      <c r="E858">
        <v>0</v>
      </c>
      <c r="F858" t="s">
        <v>19</v>
      </c>
      <c r="G858" t="s">
        <v>14</v>
      </c>
      <c r="H858" t="s">
        <v>15</v>
      </c>
      <c r="I858">
        <v>1</v>
      </c>
      <c r="J858" t="s">
        <v>23</v>
      </c>
      <c r="K858" t="s">
        <v>32</v>
      </c>
      <c r="L858">
        <v>27</v>
      </c>
      <c r="M858" t="str">
        <f t="shared" si="13"/>
        <v>Adolenece</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40</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40</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40</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40</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40</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40</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40</v>
      </c>
      <c r="D868" s="3">
        <v>60000</v>
      </c>
      <c r="E868">
        <v>2</v>
      </c>
      <c r="F868" t="s">
        <v>27</v>
      </c>
      <c r="G868" t="s">
        <v>21</v>
      </c>
      <c r="H868" t="s">
        <v>15</v>
      </c>
      <c r="I868">
        <v>2</v>
      </c>
      <c r="J868" t="s">
        <v>47</v>
      </c>
      <c r="K868" t="s">
        <v>32</v>
      </c>
      <c r="L868">
        <v>55</v>
      </c>
      <c r="M868" t="str">
        <f t="shared" si="13"/>
        <v>Old</v>
      </c>
      <c r="N868" t="s">
        <v>18</v>
      </c>
    </row>
    <row r="869" spans="1:14" x14ac:dyDescent="0.35">
      <c r="A869">
        <v>26693</v>
      </c>
      <c r="B869" t="s">
        <v>36</v>
      </c>
      <c r="C869" t="s">
        <v>40</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40</v>
      </c>
      <c r="D870" s="3">
        <v>30000</v>
      </c>
      <c r="E870">
        <v>5</v>
      </c>
      <c r="F870" t="s">
        <v>29</v>
      </c>
      <c r="G870" t="s">
        <v>14</v>
      </c>
      <c r="H870" t="s">
        <v>15</v>
      </c>
      <c r="I870">
        <v>3</v>
      </c>
      <c r="J870" t="s">
        <v>47</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40</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40</v>
      </c>
      <c r="D873" s="3">
        <v>60000</v>
      </c>
      <c r="E873">
        <v>2</v>
      </c>
      <c r="F873" t="s">
        <v>27</v>
      </c>
      <c r="G873" t="s">
        <v>21</v>
      </c>
      <c r="H873" t="s">
        <v>15</v>
      </c>
      <c r="I873">
        <v>2</v>
      </c>
      <c r="J873" t="s">
        <v>47</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40</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40</v>
      </c>
      <c r="D878" s="3">
        <v>30000</v>
      </c>
      <c r="E878">
        <v>0</v>
      </c>
      <c r="F878" t="s">
        <v>29</v>
      </c>
      <c r="G878" t="s">
        <v>20</v>
      </c>
      <c r="H878" t="s">
        <v>18</v>
      </c>
      <c r="I878">
        <v>2</v>
      </c>
      <c r="J878" t="s">
        <v>16</v>
      </c>
      <c r="K878" t="s">
        <v>32</v>
      </c>
      <c r="L878">
        <v>26</v>
      </c>
      <c r="M878" t="str">
        <f t="shared" si="13"/>
        <v>Adolenece</v>
      </c>
      <c r="N878" t="s">
        <v>18</v>
      </c>
    </row>
    <row r="879" spans="1:14" x14ac:dyDescent="0.35">
      <c r="A879">
        <v>15879</v>
      </c>
      <c r="B879" t="s">
        <v>36</v>
      </c>
      <c r="C879" t="s">
        <v>40</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40</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40</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40</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40</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40</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40</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40</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40</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40</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40</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40</v>
      </c>
      <c r="D899" s="3">
        <v>30000</v>
      </c>
      <c r="E899">
        <v>0</v>
      </c>
      <c r="F899" t="s">
        <v>29</v>
      </c>
      <c r="G899" t="s">
        <v>20</v>
      </c>
      <c r="H899" t="s">
        <v>18</v>
      </c>
      <c r="I899">
        <v>2</v>
      </c>
      <c r="J899" t="s">
        <v>16</v>
      </c>
      <c r="K899" t="s">
        <v>32</v>
      </c>
      <c r="L899">
        <v>28</v>
      </c>
      <c r="M899" t="str">
        <f t="shared" ref="M899:M962" si="14">IF(L899&gt;54,"Old",IF(L899&gt;=31,"Middle age",IF(L899&lt;31,"Adolenece","Invalid")))</f>
        <v>Adolenece</v>
      </c>
      <c r="N899" t="s">
        <v>18</v>
      </c>
    </row>
    <row r="900" spans="1:14" x14ac:dyDescent="0.35">
      <c r="A900">
        <v>18066</v>
      </c>
      <c r="B900" t="s">
        <v>37</v>
      </c>
      <c r="C900" t="s">
        <v>40</v>
      </c>
      <c r="D900" s="3">
        <v>70000</v>
      </c>
      <c r="E900">
        <v>5</v>
      </c>
      <c r="F900" t="s">
        <v>13</v>
      </c>
      <c r="G900" t="s">
        <v>28</v>
      </c>
      <c r="H900" t="s">
        <v>15</v>
      </c>
      <c r="I900">
        <v>3</v>
      </c>
      <c r="J900" t="s">
        <v>47</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5">
      <c r="A902">
        <v>16122</v>
      </c>
      <c r="B902" t="s">
        <v>36</v>
      </c>
      <c r="C902" t="s">
        <v>40</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40</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40</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40</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40</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40</v>
      </c>
      <c r="D909" s="3">
        <v>50000</v>
      </c>
      <c r="E909">
        <v>4</v>
      </c>
      <c r="F909" t="s">
        <v>13</v>
      </c>
      <c r="G909" t="s">
        <v>28</v>
      </c>
      <c r="H909" t="s">
        <v>15</v>
      </c>
      <c r="I909">
        <v>2</v>
      </c>
      <c r="J909" t="s">
        <v>47</v>
      </c>
      <c r="K909" t="s">
        <v>32</v>
      </c>
      <c r="L909">
        <v>63</v>
      </c>
      <c r="M909" t="str">
        <f t="shared" si="14"/>
        <v>Old</v>
      </c>
      <c r="N909" t="s">
        <v>18</v>
      </c>
    </row>
    <row r="910" spans="1:14" x14ac:dyDescent="0.35">
      <c r="A910">
        <v>23195</v>
      </c>
      <c r="B910" t="s">
        <v>37</v>
      </c>
      <c r="C910" t="s">
        <v>40</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40</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40</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40</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40</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40</v>
      </c>
      <c r="D917" s="3">
        <v>60000</v>
      </c>
      <c r="E917">
        <v>3</v>
      </c>
      <c r="F917" t="s">
        <v>31</v>
      </c>
      <c r="G917" t="s">
        <v>28</v>
      </c>
      <c r="H917" t="s">
        <v>15</v>
      </c>
      <c r="I917">
        <v>2</v>
      </c>
      <c r="J917" t="s">
        <v>47</v>
      </c>
      <c r="K917" t="s">
        <v>32</v>
      </c>
      <c r="L917">
        <v>64</v>
      </c>
      <c r="M917" t="str">
        <f t="shared" si="14"/>
        <v>Old</v>
      </c>
      <c r="N917" t="s">
        <v>18</v>
      </c>
    </row>
    <row r="918" spans="1:14" x14ac:dyDescent="0.35">
      <c r="A918">
        <v>27273</v>
      </c>
      <c r="B918" t="s">
        <v>37</v>
      </c>
      <c r="C918" t="s">
        <v>40</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40</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5">
      <c r="A922">
        <v>20754</v>
      </c>
      <c r="B922" t="s">
        <v>36</v>
      </c>
      <c r="C922" t="s">
        <v>40</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40</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40</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40</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40</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40</v>
      </c>
      <c r="D932" s="3">
        <v>70000</v>
      </c>
      <c r="E932">
        <v>5</v>
      </c>
      <c r="F932" t="s">
        <v>31</v>
      </c>
      <c r="G932" t="s">
        <v>21</v>
      </c>
      <c r="H932" t="s">
        <v>18</v>
      </c>
      <c r="I932">
        <v>3</v>
      </c>
      <c r="J932" t="s">
        <v>47</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Adolenece</v>
      </c>
      <c r="N934" t="s">
        <v>15</v>
      </c>
    </row>
    <row r="935" spans="1:14" x14ac:dyDescent="0.35">
      <c r="A935">
        <v>11941</v>
      </c>
      <c r="B935" t="s">
        <v>37</v>
      </c>
      <c r="C935" t="s">
        <v>40</v>
      </c>
      <c r="D935" s="3">
        <v>60000</v>
      </c>
      <c r="E935">
        <v>0</v>
      </c>
      <c r="F935" t="s">
        <v>19</v>
      </c>
      <c r="G935" t="s">
        <v>14</v>
      </c>
      <c r="H935" t="s">
        <v>15</v>
      </c>
      <c r="I935">
        <v>0</v>
      </c>
      <c r="J935" t="s">
        <v>23</v>
      </c>
      <c r="K935" t="s">
        <v>32</v>
      </c>
      <c r="L935">
        <v>29</v>
      </c>
      <c r="M935" t="str">
        <f t="shared" si="14"/>
        <v>Adolenece</v>
      </c>
      <c r="N935" t="s">
        <v>18</v>
      </c>
    </row>
    <row r="936" spans="1:14" x14ac:dyDescent="0.35">
      <c r="A936">
        <v>14389</v>
      </c>
      <c r="B936" t="s">
        <v>36</v>
      </c>
      <c r="C936" t="s">
        <v>40</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40</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Adolenece</v>
      </c>
      <c r="N940" t="s">
        <v>18</v>
      </c>
    </row>
    <row r="941" spans="1:14" x14ac:dyDescent="0.35">
      <c r="A941">
        <v>23455</v>
      </c>
      <c r="B941" t="s">
        <v>37</v>
      </c>
      <c r="C941" t="s">
        <v>40</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40</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40</v>
      </c>
      <c r="D951" s="3">
        <v>70000</v>
      </c>
      <c r="E951">
        <v>2</v>
      </c>
      <c r="F951" t="s">
        <v>29</v>
      </c>
      <c r="G951" t="s">
        <v>14</v>
      </c>
      <c r="H951" t="s">
        <v>15</v>
      </c>
      <c r="I951">
        <v>2</v>
      </c>
      <c r="J951" t="s">
        <v>47</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40</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Adolenece</v>
      </c>
      <c r="N955" t="s">
        <v>15</v>
      </c>
    </row>
    <row r="956" spans="1:14" x14ac:dyDescent="0.35">
      <c r="A956">
        <v>14662</v>
      </c>
      <c r="B956" t="s">
        <v>36</v>
      </c>
      <c r="C956" t="s">
        <v>40</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Adolenece</v>
      </c>
      <c r="N959" t="s">
        <v>18</v>
      </c>
    </row>
    <row r="960" spans="1:14" x14ac:dyDescent="0.35">
      <c r="A960">
        <v>21940</v>
      </c>
      <c r="B960" t="s">
        <v>36</v>
      </c>
      <c r="C960" t="s">
        <v>40</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40</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40</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age",IF(L963&lt;31,"Adolenece","Invalid")))</f>
        <v>Old</v>
      </c>
      <c r="N963" t="s">
        <v>18</v>
      </c>
    </row>
    <row r="964" spans="1:14" x14ac:dyDescent="0.35">
      <c r="A964">
        <v>16813</v>
      </c>
      <c r="B964" t="s">
        <v>36</v>
      </c>
      <c r="C964" t="s">
        <v>40</v>
      </c>
      <c r="D964" s="3">
        <v>60000</v>
      </c>
      <c r="E964">
        <v>2</v>
      </c>
      <c r="F964" t="s">
        <v>19</v>
      </c>
      <c r="G964" t="s">
        <v>21</v>
      </c>
      <c r="H964" t="s">
        <v>15</v>
      </c>
      <c r="I964">
        <v>2</v>
      </c>
      <c r="J964" t="s">
        <v>47</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40</v>
      </c>
      <c r="D966" s="3">
        <v>70000</v>
      </c>
      <c r="E966">
        <v>4</v>
      </c>
      <c r="F966" t="s">
        <v>19</v>
      </c>
      <c r="G966" t="s">
        <v>21</v>
      </c>
      <c r="H966" t="s">
        <v>15</v>
      </c>
      <c r="I966">
        <v>1</v>
      </c>
      <c r="J966" t="s">
        <v>47</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40</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40</v>
      </c>
      <c r="D970" s="3">
        <v>30000</v>
      </c>
      <c r="E970">
        <v>0</v>
      </c>
      <c r="F970" t="s">
        <v>29</v>
      </c>
      <c r="G970" t="s">
        <v>20</v>
      </c>
      <c r="H970" t="s">
        <v>18</v>
      </c>
      <c r="I970">
        <v>2</v>
      </c>
      <c r="J970" t="s">
        <v>23</v>
      </c>
      <c r="K970" t="s">
        <v>32</v>
      </c>
      <c r="L970">
        <v>27</v>
      </c>
      <c r="M970" t="str">
        <f t="shared" si="15"/>
        <v>Adolenece</v>
      </c>
      <c r="N970" t="s">
        <v>18</v>
      </c>
    </row>
    <row r="971" spans="1:14" x14ac:dyDescent="0.35">
      <c r="A971">
        <v>29037</v>
      </c>
      <c r="B971" t="s">
        <v>36</v>
      </c>
      <c r="C971" t="s">
        <v>40</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40</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40</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40</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40</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40</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5">
      <c r="A983">
        <v>15982</v>
      </c>
      <c r="B983" t="s">
        <v>36</v>
      </c>
      <c r="C983" t="s">
        <v>40</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40</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40</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40</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40</v>
      </c>
      <c r="D988" s="3">
        <v>40000</v>
      </c>
      <c r="E988">
        <v>5</v>
      </c>
      <c r="F988" t="s">
        <v>27</v>
      </c>
      <c r="G988" t="s">
        <v>21</v>
      </c>
      <c r="H988" t="s">
        <v>15</v>
      </c>
      <c r="I988">
        <v>4</v>
      </c>
      <c r="J988" t="s">
        <v>47</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5">
      <c r="A990">
        <v>22730</v>
      </c>
      <c r="B990" t="s">
        <v>36</v>
      </c>
      <c r="C990" t="s">
        <v>40</v>
      </c>
      <c r="D990" s="3">
        <v>70000</v>
      </c>
      <c r="E990">
        <v>5</v>
      </c>
      <c r="F990" t="s">
        <v>13</v>
      </c>
      <c r="G990" t="s">
        <v>28</v>
      </c>
      <c r="H990" t="s">
        <v>15</v>
      </c>
      <c r="I990">
        <v>2</v>
      </c>
      <c r="J990" t="s">
        <v>47</v>
      </c>
      <c r="K990" t="s">
        <v>32</v>
      </c>
      <c r="L990">
        <v>63</v>
      </c>
      <c r="M990" t="str">
        <f t="shared" si="15"/>
        <v>Old</v>
      </c>
      <c r="N990" t="s">
        <v>18</v>
      </c>
    </row>
    <row r="991" spans="1:14" x14ac:dyDescent="0.35">
      <c r="A991">
        <v>29134</v>
      </c>
      <c r="B991" t="s">
        <v>36</v>
      </c>
      <c r="C991" t="s">
        <v>40</v>
      </c>
      <c r="D991" s="3">
        <v>60000</v>
      </c>
      <c r="E991">
        <v>4</v>
      </c>
      <c r="F991" t="s">
        <v>13</v>
      </c>
      <c r="G991" t="s">
        <v>14</v>
      </c>
      <c r="H991" t="s">
        <v>18</v>
      </c>
      <c r="I991">
        <v>3</v>
      </c>
      <c r="J991" t="s">
        <v>47</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Adolenece</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40</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40</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40</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40</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40</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40</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40</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40</v>
      </c>
      <c r="D1001" s="3">
        <v>60000</v>
      </c>
      <c r="E1001">
        <v>3</v>
      </c>
      <c r="F1001" t="s">
        <v>27</v>
      </c>
      <c r="G1001" t="s">
        <v>21</v>
      </c>
      <c r="H1001" t="s">
        <v>15</v>
      </c>
      <c r="I1001">
        <v>2</v>
      </c>
      <c r="J1001" t="s">
        <v>47</v>
      </c>
      <c r="K1001" t="s">
        <v>32</v>
      </c>
      <c r="L1001">
        <v>53</v>
      </c>
      <c r="M1001" t="str">
        <f t="shared" si="15"/>
        <v>Middle age</v>
      </c>
      <c r="N1001" t="s">
        <v>15</v>
      </c>
    </row>
    <row r="1002" spans="1:14" x14ac:dyDescent="0.35">
      <c r="D1002"/>
    </row>
    <row r="1003" spans="1:14" x14ac:dyDescent="0.35">
      <c r="D1003"/>
    </row>
    <row r="1004" spans="1:14" x14ac:dyDescent="0.35">
      <c r="D1004"/>
    </row>
    <row r="1005" spans="1:14" x14ac:dyDescent="0.35">
      <c r="D1005"/>
    </row>
    <row r="1006" spans="1:14" x14ac:dyDescent="0.35">
      <c r="D1006"/>
    </row>
    <row r="1007" spans="1:14" x14ac:dyDescent="0.35">
      <c r="D1007"/>
    </row>
    <row r="1008" spans="1:14"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sheetData>
  <autoFilter ref="A1:N1001"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7"/>
  <sheetViews>
    <sheetView zoomScale="80" zoomScaleNormal="80" workbookViewId="0">
      <selection activeCell="B17" sqref="B17"/>
    </sheetView>
  </sheetViews>
  <sheetFormatPr defaultRowHeight="14.5" x14ac:dyDescent="0.35"/>
  <cols>
    <col min="1" max="1" width="13.36328125" bestFit="1" customWidth="1"/>
    <col min="2" max="2" width="22.36328125" bestFit="1" customWidth="1"/>
    <col min="3" max="3" width="10.90625" bestFit="1" customWidth="1"/>
    <col min="4" max="4" width="22.36328125" bestFit="1" customWidth="1"/>
    <col min="5" max="5" width="10.90625" bestFit="1" customWidth="1"/>
    <col min="6" max="6" width="27.26953125" bestFit="1" customWidth="1"/>
    <col min="7" max="7" width="22.36328125" bestFit="1" customWidth="1"/>
    <col min="8" max="8" width="16.453125" bestFit="1" customWidth="1"/>
    <col min="9" max="9" width="11.453125" bestFit="1" customWidth="1"/>
    <col min="10" max="10" width="7.6328125" bestFit="1" customWidth="1"/>
    <col min="11" max="11" width="12.6328125" bestFit="1" customWidth="1"/>
    <col min="12" max="12" width="7.1796875" bestFit="1" customWidth="1"/>
    <col min="13" max="14" width="11" bestFit="1" customWidth="1"/>
  </cols>
  <sheetData>
    <row r="1" spans="1:13" x14ac:dyDescent="0.35">
      <c r="A1" s="4" t="s">
        <v>44</v>
      </c>
      <c r="B1" s="4" t="s">
        <v>45</v>
      </c>
    </row>
    <row r="2" spans="1:13" x14ac:dyDescent="0.35">
      <c r="A2" s="4" t="s">
        <v>42</v>
      </c>
      <c r="B2" t="s">
        <v>15</v>
      </c>
      <c r="C2" t="s">
        <v>18</v>
      </c>
      <c r="D2" t="s">
        <v>43</v>
      </c>
    </row>
    <row r="3" spans="1:13" x14ac:dyDescent="0.35">
      <c r="A3" s="5" t="s">
        <v>39</v>
      </c>
      <c r="B3" s="6">
        <v>59259.259259259263</v>
      </c>
      <c r="C3" s="6">
        <v>54885.496183206109</v>
      </c>
      <c r="D3" s="6">
        <v>56861.924686192469</v>
      </c>
    </row>
    <row r="4" spans="1:13" x14ac:dyDescent="0.35">
      <c r="A4" s="5" t="s">
        <v>40</v>
      </c>
      <c r="B4" s="6">
        <v>61300.813008130084</v>
      </c>
      <c r="C4" s="6">
        <v>59431.818181818184</v>
      </c>
      <c r="D4" s="6">
        <v>60200.668896321069</v>
      </c>
    </row>
    <row r="5" spans="1:13" x14ac:dyDescent="0.35">
      <c r="A5" s="5" t="s">
        <v>43</v>
      </c>
      <c r="B5" s="6">
        <v>60346.320346320346</v>
      </c>
      <c r="C5" s="6">
        <v>57491.856677524433</v>
      </c>
      <c r="D5" s="6">
        <v>58717.472118959107</v>
      </c>
      <c r="G5" s="4" t="s">
        <v>46</v>
      </c>
      <c r="H5" s="4" t="s">
        <v>45</v>
      </c>
    </row>
    <row r="6" spans="1:13" x14ac:dyDescent="0.35">
      <c r="G6" s="4" t="s">
        <v>42</v>
      </c>
      <c r="H6" t="s">
        <v>15</v>
      </c>
      <c r="I6" t="s">
        <v>18</v>
      </c>
      <c r="J6" t="s">
        <v>43</v>
      </c>
    </row>
    <row r="7" spans="1:13" x14ac:dyDescent="0.35">
      <c r="G7" s="5" t="s">
        <v>39</v>
      </c>
      <c r="H7" s="9">
        <v>0.4887525562372188</v>
      </c>
      <c r="I7" s="9">
        <v>0.5112474437627812</v>
      </c>
      <c r="J7" s="9">
        <v>1</v>
      </c>
    </row>
    <row r="8" spans="1:13" x14ac:dyDescent="0.35">
      <c r="A8" s="4" t="s">
        <v>46</v>
      </c>
      <c r="B8" s="4" t="s">
        <v>45</v>
      </c>
      <c r="G8" s="5" t="s">
        <v>40</v>
      </c>
      <c r="H8" s="9">
        <v>0.47358121330724068</v>
      </c>
      <c r="I8" s="9">
        <v>0.52641878669275932</v>
      </c>
      <c r="J8" s="9">
        <v>1</v>
      </c>
    </row>
    <row r="9" spans="1:13" x14ac:dyDescent="0.35">
      <c r="A9" s="4" t="s">
        <v>42</v>
      </c>
      <c r="B9" t="s">
        <v>15</v>
      </c>
      <c r="C9" t="s">
        <v>18</v>
      </c>
      <c r="D9" t="s">
        <v>43</v>
      </c>
      <c r="G9" s="5" t="s">
        <v>43</v>
      </c>
      <c r="H9" s="9">
        <v>0.48099999999999998</v>
      </c>
      <c r="I9" s="9">
        <v>0.51900000000000002</v>
      </c>
      <c r="J9" s="9">
        <v>1</v>
      </c>
    </row>
    <row r="10" spans="1:13" x14ac:dyDescent="0.35">
      <c r="A10" s="5" t="s">
        <v>16</v>
      </c>
      <c r="B10" s="10">
        <v>98</v>
      </c>
      <c r="C10" s="10">
        <v>107</v>
      </c>
      <c r="D10" s="10">
        <v>205</v>
      </c>
    </row>
    <row r="11" spans="1:13" x14ac:dyDescent="0.35">
      <c r="A11" s="5" t="s">
        <v>26</v>
      </c>
      <c r="B11" s="10">
        <v>38</v>
      </c>
      <c r="C11" s="10">
        <v>50</v>
      </c>
      <c r="D11" s="10">
        <v>88</v>
      </c>
    </row>
    <row r="12" spans="1:13" x14ac:dyDescent="0.35">
      <c r="A12" s="5" t="s">
        <v>22</v>
      </c>
      <c r="B12" s="10">
        <v>44</v>
      </c>
      <c r="C12" s="10">
        <v>37</v>
      </c>
      <c r="D12" s="10">
        <v>81</v>
      </c>
      <c r="G12" s="4" t="s">
        <v>46</v>
      </c>
      <c r="H12" s="4" t="s">
        <v>45</v>
      </c>
    </row>
    <row r="13" spans="1:13" x14ac:dyDescent="0.35">
      <c r="A13" s="5" t="s">
        <v>23</v>
      </c>
      <c r="B13" s="10">
        <v>38</v>
      </c>
      <c r="C13" s="10">
        <v>63</v>
      </c>
      <c r="D13" s="10">
        <v>101</v>
      </c>
      <c r="G13" s="4" t="s">
        <v>42</v>
      </c>
      <c r="H13" t="s">
        <v>14</v>
      </c>
      <c r="I13" t="s">
        <v>21</v>
      </c>
      <c r="J13" t="s">
        <v>25</v>
      </c>
      <c r="K13" t="s">
        <v>28</v>
      </c>
      <c r="L13" t="s">
        <v>20</v>
      </c>
      <c r="M13" t="s">
        <v>43</v>
      </c>
    </row>
    <row r="14" spans="1:13" x14ac:dyDescent="0.35">
      <c r="A14" s="5" t="s">
        <v>47</v>
      </c>
      <c r="B14" s="10">
        <v>13</v>
      </c>
      <c r="C14" s="10">
        <v>50</v>
      </c>
      <c r="D14" s="10">
        <v>63</v>
      </c>
      <c r="G14" s="5" t="s">
        <v>13</v>
      </c>
      <c r="H14" s="9">
        <v>0.21568627450980393</v>
      </c>
      <c r="I14" s="9">
        <v>0.30065359477124182</v>
      </c>
      <c r="J14" s="9">
        <v>6.5359477124183009E-3</v>
      </c>
      <c r="K14" s="9">
        <v>0.31699346405228757</v>
      </c>
      <c r="L14" s="9">
        <v>0.16013071895424835</v>
      </c>
      <c r="M14" s="9">
        <v>1</v>
      </c>
    </row>
    <row r="15" spans="1:13" x14ac:dyDescent="0.35">
      <c r="A15" s="5" t="s">
        <v>43</v>
      </c>
      <c r="B15" s="10">
        <v>231</v>
      </c>
      <c r="C15" s="10">
        <v>307</v>
      </c>
      <c r="D15" s="10">
        <v>538</v>
      </c>
      <c r="G15" s="5" t="s">
        <v>31</v>
      </c>
      <c r="H15" s="9">
        <v>0.22988505747126436</v>
      </c>
      <c r="I15" s="9">
        <v>0.25862068965517243</v>
      </c>
      <c r="J15" s="9">
        <v>3.4482758620689655E-2</v>
      </c>
      <c r="K15" s="9">
        <v>0.33908045977011492</v>
      </c>
      <c r="L15" s="9">
        <v>0.13793103448275862</v>
      </c>
      <c r="M15" s="9">
        <v>1</v>
      </c>
    </row>
    <row r="16" spans="1:13" x14ac:dyDescent="0.35">
      <c r="G16" s="5" t="s">
        <v>27</v>
      </c>
      <c r="H16" s="9">
        <v>0.35754189944134079</v>
      </c>
      <c r="I16" s="9">
        <v>0.30726256983240224</v>
      </c>
      <c r="J16" s="9">
        <v>0.24581005586592178</v>
      </c>
      <c r="K16" s="9">
        <v>6.7039106145251395E-2</v>
      </c>
      <c r="L16" s="9">
        <v>2.23463687150838E-2</v>
      </c>
      <c r="M16" s="9">
        <v>1</v>
      </c>
    </row>
    <row r="17" spans="1:13" x14ac:dyDescent="0.35">
      <c r="A17" s="4" t="s">
        <v>46</v>
      </c>
      <c r="B17" s="4" t="s">
        <v>45</v>
      </c>
      <c r="G17" s="5" t="s">
        <v>19</v>
      </c>
      <c r="H17" s="9">
        <v>0.25660377358490566</v>
      </c>
      <c r="I17" s="9">
        <v>0.30188679245283018</v>
      </c>
      <c r="J17" s="9">
        <v>0.13584905660377358</v>
      </c>
      <c r="K17" s="9">
        <v>1.8867924528301886E-2</v>
      </c>
      <c r="L17" s="9">
        <v>0.28679245283018867</v>
      </c>
      <c r="M17" s="9">
        <v>1</v>
      </c>
    </row>
    <row r="18" spans="1:13" x14ac:dyDescent="0.35">
      <c r="A18" s="4" t="s">
        <v>42</v>
      </c>
      <c r="B18" t="s">
        <v>15</v>
      </c>
      <c r="C18" t="s">
        <v>18</v>
      </c>
      <c r="D18" t="s">
        <v>43</v>
      </c>
      <c r="G18" s="5" t="s">
        <v>29</v>
      </c>
      <c r="H18" s="9">
        <v>0.22368421052631579</v>
      </c>
      <c r="I18" s="9">
        <v>5.2631578947368418E-2</v>
      </c>
      <c r="J18" s="9">
        <v>0.40789473684210525</v>
      </c>
      <c r="K18" s="9">
        <v>0</v>
      </c>
      <c r="L18" s="9">
        <v>0.31578947368421051</v>
      </c>
      <c r="M18" s="9">
        <v>1</v>
      </c>
    </row>
    <row r="19" spans="1:13" x14ac:dyDescent="0.35">
      <c r="A19" s="5" t="s">
        <v>48</v>
      </c>
      <c r="B19" s="10">
        <v>32</v>
      </c>
      <c r="C19" s="10">
        <v>96</v>
      </c>
      <c r="D19" s="10">
        <v>128</v>
      </c>
      <c r="G19" s="5" t="s">
        <v>43</v>
      </c>
      <c r="H19" s="9">
        <v>0.255</v>
      </c>
      <c r="I19" s="9">
        <v>0.27600000000000002</v>
      </c>
      <c r="J19" s="9">
        <v>0.11899999999999999</v>
      </c>
      <c r="K19" s="9">
        <v>0.17299999999999999</v>
      </c>
      <c r="L19" s="9">
        <v>0.17699999999999999</v>
      </c>
      <c r="M19" s="9">
        <v>1</v>
      </c>
    </row>
    <row r="20" spans="1:13" x14ac:dyDescent="0.35">
      <c r="A20" s="5" t="s">
        <v>49</v>
      </c>
      <c r="B20" s="10">
        <v>185</v>
      </c>
      <c r="C20" s="10">
        <v>187</v>
      </c>
      <c r="D20" s="10">
        <v>372</v>
      </c>
    </row>
    <row r="21" spans="1:13" x14ac:dyDescent="0.35">
      <c r="A21" s="5" t="s">
        <v>50</v>
      </c>
      <c r="B21" s="10">
        <v>14</v>
      </c>
      <c r="C21" s="10">
        <v>24</v>
      </c>
      <c r="D21" s="10">
        <v>38</v>
      </c>
    </row>
    <row r="22" spans="1:13" x14ac:dyDescent="0.35">
      <c r="A22" s="5" t="s">
        <v>43</v>
      </c>
      <c r="B22" s="10">
        <v>231</v>
      </c>
      <c r="C22" s="10">
        <v>307</v>
      </c>
      <c r="D22" s="10">
        <v>538</v>
      </c>
      <c r="G22" s="4" t="s">
        <v>42</v>
      </c>
      <c r="H22" t="s">
        <v>46</v>
      </c>
    </row>
    <row r="23" spans="1:13" x14ac:dyDescent="0.35">
      <c r="G23" s="5" t="s">
        <v>24</v>
      </c>
      <c r="H23" s="10">
        <v>192</v>
      </c>
    </row>
    <row r="24" spans="1:13" x14ac:dyDescent="0.35">
      <c r="G24" s="5" t="s">
        <v>32</v>
      </c>
      <c r="H24" s="10">
        <v>508</v>
      </c>
    </row>
    <row r="25" spans="1:13" x14ac:dyDescent="0.35">
      <c r="G25" s="5" t="s">
        <v>17</v>
      </c>
      <c r="H25" s="10">
        <v>300</v>
      </c>
    </row>
    <row r="26" spans="1:13" x14ac:dyDescent="0.35">
      <c r="G26" s="5" t="s">
        <v>43</v>
      </c>
      <c r="H26" s="10">
        <v>1000</v>
      </c>
    </row>
    <row r="62" spans="1:7" x14ac:dyDescent="0.35">
      <c r="B62" s="4" t="s">
        <v>45</v>
      </c>
    </row>
    <row r="63" spans="1:7" x14ac:dyDescent="0.35">
      <c r="B63" t="s">
        <v>18</v>
      </c>
      <c r="D63" t="s">
        <v>15</v>
      </c>
      <c r="F63" t="s">
        <v>51</v>
      </c>
      <c r="G63" t="s">
        <v>52</v>
      </c>
    </row>
    <row r="64" spans="1:7" x14ac:dyDescent="0.35">
      <c r="A64" s="4" t="s">
        <v>42</v>
      </c>
      <c r="B64" t="s">
        <v>46</v>
      </c>
      <c r="C64" t="s">
        <v>53</v>
      </c>
      <c r="D64" t="s">
        <v>46</v>
      </c>
      <c r="E64" t="s">
        <v>53</v>
      </c>
    </row>
    <row r="65" spans="1:7" x14ac:dyDescent="0.35">
      <c r="A65" s="5">
        <v>25</v>
      </c>
      <c r="B65" s="10">
        <v>1</v>
      </c>
      <c r="C65" s="10">
        <v>25</v>
      </c>
      <c r="D65" s="10">
        <v>2</v>
      </c>
      <c r="E65" s="10">
        <v>50</v>
      </c>
      <c r="F65" s="10">
        <v>3</v>
      </c>
      <c r="G65" s="10">
        <v>75</v>
      </c>
    </row>
    <row r="66" spans="1:7" x14ac:dyDescent="0.35">
      <c r="A66" s="5">
        <v>26</v>
      </c>
      <c r="B66" s="10">
        <v>1</v>
      </c>
      <c r="C66" s="10">
        <v>26</v>
      </c>
      <c r="D66" s="10">
        <v>4</v>
      </c>
      <c r="E66" s="10">
        <v>104</v>
      </c>
      <c r="F66" s="10">
        <v>5</v>
      </c>
      <c r="G66" s="10">
        <v>130</v>
      </c>
    </row>
    <row r="67" spans="1:7" x14ac:dyDescent="0.35">
      <c r="A67" s="5">
        <v>27</v>
      </c>
      <c r="B67" s="10">
        <v>6</v>
      </c>
      <c r="C67" s="10">
        <v>162</v>
      </c>
      <c r="D67" s="10">
        <v>4</v>
      </c>
      <c r="E67" s="10">
        <v>108</v>
      </c>
      <c r="F67" s="10">
        <v>10</v>
      </c>
      <c r="G67" s="10">
        <v>270</v>
      </c>
    </row>
    <row r="68" spans="1:7" x14ac:dyDescent="0.35">
      <c r="A68" s="5">
        <v>28</v>
      </c>
      <c r="B68" s="10">
        <v>4</v>
      </c>
      <c r="C68" s="10">
        <v>112</v>
      </c>
      <c r="D68" s="10">
        <v>3</v>
      </c>
      <c r="E68" s="10">
        <v>84</v>
      </c>
      <c r="F68" s="10">
        <v>7</v>
      </c>
      <c r="G68" s="10">
        <v>196</v>
      </c>
    </row>
    <row r="69" spans="1:7" x14ac:dyDescent="0.35">
      <c r="A69" s="5">
        <v>29</v>
      </c>
      <c r="B69" s="10">
        <v>4</v>
      </c>
      <c r="C69" s="10">
        <v>116</v>
      </c>
      <c r="D69" s="10">
        <v>1</v>
      </c>
      <c r="E69" s="10">
        <v>29</v>
      </c>
      <c r="F69" s="10">
        <v>5</v>
      </c>
      <c r="G69" s="10">
        <v>145</v>
      </c>
    </row>
    <row r="70" spans="1:7" x14ac:dyDescent="0.35">
      <c r="A70" s="5">
        <v>30</v>
      </c>
      <c r="B70" s="10">
        <v>8</v>
      </c>
      <c r="C70" s="10">
        <v>240</v>
      </c>
      <c r="D70" s="10"/>
      <c r="E70" s="10"/>
      <c r="F70" s="10">
        <v>8</v>
      </c>
      <c r="G70" s="10">
        <v>240</v>
      </c>
    </row>
    <row r="71" spans="1:7" x14ac:dyDescent="0.35">
      <c r="A71" s="5">
        <v>31</v>
      </c>
      <c r="B71" s="10">
        <v>5</v>
      </c>
      <c r="C71" s="10">
        <v>155</v>
      </c>
      <c r="D71" s="10"/>
      <c r="E71" s="10"/>
      <c r="F71" s="10">
        <v>5</v>
      </c>
      <c r="G71" s="10">
        <v>155</v>
      </c>
    </row>
    <row r="72" spans="1:7" x14ac:dyDescent="0.35">
      <c r="A72" s="5">
        <v>32</v>
      </c>
      <c r="B72" s="10">
        <v>10</v>
      </c>
      <c r="C72" s="10">
        <v>320</v>
      </c>
      <c r="D72" s="10">
        <v>8</v>
      </c>
      <c r="E72" s="10">
        <v>256</v>
      </c>
      <c r="F72" s="10">
        <v>18</v>
      </c>
      <c r="G72" s="10">
        <v>576</v>
      </c>
    </row>
    <row r="73" spans="1:7" x14ac:dyDescent="0.35">
      <c r="A73" s="5">
        <v>33</v>
      </c>
      <c r="B73" s="10">
        <v>3</v>
      </c>
      <c r="C73" s="10">
        <v>99</v>
      </c>
      <c r="D73" s="10">
        <v>5</v>
      </c>
      <c r="E73" s="10">
        <v>165</v>
      </c>
      <c r="F73" s="10">
        <v>8</v>
      </c>
      <c r="G73" s="10">
        <v>264</v>
      </c>
    </row>
    <row r="74" spans="1:7" x14ac:dyDescent="0.35">
      <c r="A74" s="5">
        <v>34</v>
      </c>
      <c r="B74" s="10">
        <v>5</v>
      </c>
      <c r="C74" s="10">
        <v>170</v>
      </c>
      <c r="D74" s="10">
        <v>11</v>
      </c>
      <c r="E74" s="10">
        <v>374</v>
      </c>
      <c r="F74" s="10">
        <v>16</v>
      </c>
      <c r="G74" s="10">
        <v>544</v>
      </c>
    </row>
    <row r="75" spans="1:7" x14ac:dyDescent="0.35">
      <c r="A75" s="5">
        <v>35</v>
      </c>
      <c r="B75" s="10">
        <v>4</v>
      </c>
      <c r="C75" s="10">
        <v>140</v>
      </c>
      <c r="D75" s="10">
        <v>13</v>
      </c>
      <c r="E75" s="10">
        <v>455</v>
      </c>
      <c r="F75" s="10">
        <v>17</v>
      </c>
      <c r="G75" s="10">
        <v>595</v>
      </c>
    </row>
    <row r="76" spans="1:7" x14ac:dyDescent="0.35">
      <c r="A76" s="5">
        <v>36</v>
      </c>
      <c r="B76" s="10">
        <v>3</v>
      </c>
      <c r="C76" s="10">
        <v>108</v>
      </c>
      <c r="D76" s="10">
        <v>13</v>
      </c>
      <c r="E76" s="10">
        <v>468</v>
      </c>
      <c r="F76" s="10">
        <v>16</v>
      </c>
      <c r="G76" s="10">
        <v>576</v>
      </c>
    </row>
    <row r="77" spans="1:7" x14ac:dyDescent="0.35">
      <c r="A77" s="5">
        <v>37</v>
      </c>
      <c r="B77" s="10">
        <v>3</v>
      </c>
      <c r="C77" s="10">
        <v>111</v>
      </c>
      <c r="D77" s="10">
        <v>12</v>
      </c>
      <c r="E77" s="10">
        <v>444</v>
      </c>
      <c r="F77" s="10">
        <v>15</v>
      </c>
      <c r="G77" s="10">
        <v>555</v>
      </c>
    </row>
    <row r="78" spans="1:7" x14ac:dyDescent="0.35">
      <c r="A78" s="5">
        <v>38</v>
      </c>
      <c r="B78" s="10">
        <v>3</v>
      </c>
      <c r="C78" s="10">
        <v>114</v>
      </c>
      <c r="D78" s="10">
        <v>10</v>
      </c>
      <c r="E78" s="10">
        <v>380</v>
      </c>
      <c r="F78" s="10">
        <v>13</v>
      </c>
      <c r="G78" s="10">
        <v>494</v>
      </c>
    </row>
    <row r="79" spans="1:7" x14ac:dyDescent="0.35">
      <c r="A79" s="5">
        <v>39</v>
      </c>
      <c r="B79" s="10">
        <v>6</v>
      </c>
      <c r="C79" s="10">
        <v>234</v>
      </c>
      <c r="D79" s="10">
        <v>2</v>
      </c>
      <c r="E79" s="10">
        <v>78</v>
      </c>
      <c r="F79" s="10">
        <v>8</v>
      </c>
      <c r="G79" s="10">
        <v>312</v>
      </c>
    </row>
    <row r="80" spans="1:7" x14ac:dyDescent="0.35">
      <c r="A80" s="5">
        <v>40</v>
      </c>
      <c r="B80" s="10">
        <v>15</v>
      </c>
      <c r="C80" s="10">
        <v>600</v>
      </c>
      <c r="D80" s="10">
        <v>10</v>
      </c>
      <c r="E80" s="10">
        <v>400</v>
      </c>
      <c r="F80" s="10">
        <v>25</v>
      </c>
      <c r="G80" s="10">
        <v>1000</v>
      </c>
    </row>
    <row r="81" spans="1:7" x14ac:dyDescent="0.35">
      <c r="A81" s="5">
        <v>41</v>
      </c>
      <c r="B81" s="10">
        <v>10</v>
      </c>
      <c r="C81" s="10">
        <v>410</v>
      </c>
      <c r="D81" s="10">
        <v>4</v>
      </c>
      <c r="E81" s="10">
        <v>164</v>
      </c>
      <c r="F81" s="10">
        <v>14</v>
      </c>
      <c r="G81" s="10">
        <v>574</v>
      </c>
    </row>
    <row r="82" spans="1:7" x14ac:dyDescent="0.35">
      <c r="A82" s="5">
        <v>42</v>
      </c>
      <c r="B82" s="10">
        <v>13</v>
      </c>
      <c r="C82" s="10">
        <v>546</v>
      </c>
      <c r="D82" s="10">
        <v>5</v>
      </c>
      <c r="E82" s="10">
        <v>210</v>
      </c>
      <c r="F82" s="10">
        <v>18</v>
      </c>
      <c r="G82" s="10">
        <v>756</v>
      </c>
    </row>
    <row r="83" spans="1:7" x14ac:dyDescent="0.35">
      <c r="A83" s="5">
        <v>43</v>
      </c>
      <c r="B83" s="10">
        <v>10</v>
      </c>
      <c r="C83" s="10">
        <v>430</v>
      </c>
      <c r="D83" s="10">
        <v>10</v>
      </c>
      <c r="E83" s="10">
        <v>430</v>
      </c>
      <c r="F83" s="10">
        <v>20</v>
      </c>
      <c r="G83" s="10">
        <v>860</v>
      </c>
    </row>
    <row r="84" spans="1:7" x14ac:dyDescent="0.35">
      <c r="A84" s="5">
        <v>44</v>
      </c>
      <c r="B84" s="10">
        <v>8</v>
      </c>
      <c r="C84" s="10">
        <v>352</v>
      </c>
      <c r="D84" s="10">
        <v>8</v>
      </c>
      <c r="E84" s="10">
        <v>352</v>
      </c>
      <c r="F84" s="10">
        <v>16</v>
      </c>
      <c r="G84" s="10">
        <v>704</v>
      </c>
    </row>
    <row r="85" spans="1:7" x14ac:dyDescent="0.35">
      <c r="A85" s="5">
        <v>45</v>
      </c>
      <c r="B85" s="10">
        <v>12</v>
      </c>
      <c r="C85" s="10">
        <v>540</v>
      </c>
      <c r="D85" s="10">
        <v>8</v>
      </c>
      <c r="E85" s="10">
        <v>360</v>
      </c>
      <c r="F85" s="10">
        <v>20</v>
      </c>
      <c r="G85" s="10">
        <v>900</v>
      </c>
    </row>
    <row r="86" spans="1:7" x14ac:dyDescent="0.35">
      <c r="A86" s="5">
        <v>46</v>
      </c>
      <c r="B86" s="10">
        <v>12</v>
      </c>
      <c r="C86" s="10">
        <v>552</v>
      </c>
      <c r="D86" s="10">
        <v>7</v>
      </c>
      <c r="E86" s="10">
        <v>322</v>
      </c>
      <c r="F86" s="10">
        <v>19</v>
      </c>
      <c r="G86" s="10">
        <v>874</v>
      </c>
    </row>
    <row r="87" spans="1:7" x14ac:dyDescent="0.35">
      <c r="A87" s="5">
        <v>47</v>
      </c>
      <c r="B87" s="10">
        <v>14</v>
      </c>
      <c r="C87" s="10">
        <v>658</v>
      </c>
      <c r="D87" s="10">
        <v>9</v>
      </c>
      <c r="E87" s="10">
        <v>423</v>
      </c>
      <c r="F87" s="10">
        <v>23</v>
      </c>
      <c r="G87" s="10">
        <v>1081</v>
      </c>
    </row>
    <row r="88" spans="1:7" x14ac:dyDescent="0.35">
      <c r="A88" s="5">
        <v>48</v>
      </c>
      <c r="B88" s="10">
        <v>10</v>
      </c>
      <c r="C88" s="10">
        <v>480</v>
      </c>
      <c r="D88" s="10">
        <v>11</v>
      </c>
      <c r="E88" s="10">
        <v>528</v>
      </c>
      <c r="F88" s="10">
        <v>21</v>
      </c>
      <c r="G88" s="10">
        <v>1008</v>
      </c>
    </row>
    <row r="89" spans="1:7" x14ac:dyDescent="0.35">
      <c r="A89" s="5">
        <v>49</v>
      </c>
      <c r="B89" s="10">
        <v>10</v>
      </c>
      <c r="C89" s="10">
        <v>490</v>
      </c>
      <c r="D89" s="10">
        <v>5</v>
      </c>
      <c r="E89" s="10">
        <v>245</v>
      </c>
      <c r="F89" s="10">
        <v>15</v>
      </c>
      <c r="G89" s="10">
        <v>735</v>
      </c>
    </row>
    <row r="90" spans="1:7" x14ac:dyDescent="0.35">
      <c r="A90" s="5">
        <v>50</v>
      </c>
      <c r="B90" s="10">
        <v>5</v>
      </c>
      <c r="C90" s="10">
        <v>250</v>
      </c>
      <c r="D90" s="10">
        <v>8</v>
      </c>
      <c r="E90" s="10">
        <v>400</v>
      </c>
      <c r="F90" s="10">
        <v>13</v>
      </c>
      <c r="G90" s="10">
        <v>650</v>
      </c>
    </row>
    <row r="91" spans="1:7" x14ac:dyDescent="0.35">
      <c r="A91" s="5">
        <v>51</v>
      </c>
      <c r="B91" s="10">
        <v>6</v>
      </c>
      <c r="C91" s="10">
        <v>306</v>
      </c>
      <c r="D91" s="10">
        <v>7</v>
      </c>
      <c r="E91" s="10">
        <v>357</v>
      </c>
      <c r="F91" s="10">
        <v>13</v>
      </c>
      <c r="G91" s="10">
        <v>663</v>
      </c>
    </row>
    <row r="92" spans="1:7" x14ac:dyDescent="0.35">
      <c r="A92" s="5">
        <v>52</v>
      </c>
      <c r="B92" s="10">
        <v>6</v>
      </c>
      <c r="C92" s="10">
        <v>312</v>
      </c>
      <c r="D92" s="10">
        <v>7</v>
      </c>
      <c r="E92" s="10">
        <v>364</v>
      </c>
      <c r="F92" s="10">
        <v>13</v>
      </c>
      <c r="G92" s="10">
        <v>676</v>
      </c>
    </row>
    <row r="93" spans="1:7" x14ac:dyDescent="0.35">
      <c r="A93" s="5">
        <v>53</v>
      </c>
      <c r="B93" s="10">
        <v>9</v>
      </c>
      <c r="C93" s="10">
        <v>477</v>
      </c>
      <c r="D93" s="10">
        <v>5</v>
      </c>
      <c r="E93" s="10">
        <v>265</v>
      </c>
      <c r="F93" s="10">
        <v>14</v>
      </c>
      <c r="G93" s="10">
        <v>742</v>
      </c>
    </row>
    <row r="94" spans="1:7" x14ac:dyDescent="0.35">
      <c r="A94" s="5">
        <v>54</v>
      </c>
      <c r="B94" s="10">
        <v>5</v>
      </c>
      <c r="C94" s="10">
        <v>270</v>
      </c>
      <c r="D94" s="10">
        <v>7</v>
      </c>
      <c r="E94" s="10">
        <v>378</v>
      </c>
      <c r="F94" s="10">
        <v>12</v>
      </c>
      <c r="G94" s="10">
        <v>648</v>
      </c>
    </row>
    <row r="95" spans="1:7" x14ac:dyDescent="0.35">
      <c r="A95" s="5">
        <v>55</v>
      </c>
      <c r="B95" s="10">
        <v>11</v>
      </c>
      <c r="C95" s="10">
        <v>605</v>
      </c>
      <c r="D95" s="10">
        <v>4</v>
      </c>
      <c r="E95" s="10">
        <v>220</v>
      </c>
      <c r="F95" s="10">
        <v>15</v>
      </c>
      <c r="G95" s="10">
        <v>825</v>
      </c>
    </row>
    <row r="96" spans="1:7" x14ac:dyDescent="0.35">
      <c r="A96" s="5">
        <v>56</v>
      </c>
      <c r="B96" s="10">
        <v>8</v>
      </c>
      <c r="C96" s="10">
        <v>448</v>
      </c>
      <c r="D96" s="10">
        <v>3</v>
      </c>
      <c r="E96" s="10">
        <v>168</v>
      </c>
      <c r="F96" s="10">
        <v>11</v>
      </c>
      <c r="G96" s="10">
        <v>616</v>
      </c>
    </row>
    <row r="97" spans="1:7" x14ac:dyDescent="0.35">
      <c r="A97" s="5">
        <v>57</v>
      </c>
      <c r="B97" s="10"/>
      <c r="C97" s="10"/>
      <c r="D97" s="10">
        <v>4</v>
      </c>
      <c r="E97" s="10">
        <v>228</v>
      </c>
      <c r="F97" s="10">
        <v>4</v>
      </c>
      <c r="G97" s="10">
        <v>228</v>
      </c>
    </row>
    <row r="98" spans="1:7" x14ac:dyDescent="0.35">
      <c r="A98" s="5">
        <v>58</v>
      </c>
      <c r="B98" s="10">
        <v>6</v>
      </c>
      <c r="C98" s="10">
        <v>348</v>
      </c>
      <c r="D98" s="10">
        <v>2</v>
      </c>
      <c r="E98" s="10">
        <v>116</v>
      </c>
      <c r="F98" s="10">
        <v>8</v>
      </c>
      <c r="G98" s="10">
        <v>464</v>
      </c>
    </row>
    <row r="99" spans="1:7" x14ac:dyDescent="0.35">
      <c r="A99" s="5">
        <v>59</v>
      </c>
      <c r="B99" s="10">
        <v>12</v>
      </c>
      <c r="C99" s="10">
        <v>708</v>
      </c>
      <c r="D99" s="10">
        <v>2</v>
      </c>
      <c r="E99" s="10">
        <v>118</v>
      </c>
      <c r="F99" s="10">
        <v>14</v>
      </c>
      <c r="G99" s="10">
        <v>826</v>
      </c>
    </row>
    <row r="100" spans="1:7" x14ac:dyDescent="0.35">
      <c r="A100" s="5">
        <v>60</v>
      </c>
      <c r="B100" s="10">
        <v>8</v>
      </c>
      <c r="C100" s="10">
        <v>480</v>
      </c>
      <c r="D100" s="10"/>
      <c r="E100" s="10"/>
      <c r="F100" s="10">
        <v>8</v>
      </c>
      <c r="G100" s="10">
        <v>480</v>
      </c>
    </row>
    <row r="101" spans="1:7" x14ac:dyDescent="0.35">
      <c r="A101" s="5">
        <v>61</v>
      </c>
      <c r="B101" s="10">
        <v>4</v>
      </c>
      <c r="C101" s="10">
        <v>244</v>
      </c>
      <c r="D101" s="10">
        <v>3</v>
      </c>
      <c r="E101" s="10">
        <v>183</v>
      </c>
      <c r="F101" s="10">
        <v>7</v>
      </c>
      <c r="G101" s="10">
        <v>427</v>
      </c>
    </row>
    <row r="102" spans="1:7" x14ac:dyDescent="0.35">
      <c r="A102" s="5">
        <v>62</v>
      </c>
      <c r="B102" s="10">
        <v>5</v>
      </c>
      <c r="C102" s="10">
        <v>310</v>
      </c>
      <c r="D102" s="10"/>
      <c r="E102" s="10"/>
      <c r="F102" s="10">
        <v>5</v>
      </c>
      <c r="G102" s="10">
        <v>310</v>
      </c>
    </row>
    <row r="103" spans="1:7" x14ac:dyDescent="0.35">
      <c r="A103" s="5">
        <v>63</v>
      </c>
      <c r="B103" s="10">
        <v>5</v>
      </c>
      <c r="C103" s="10">
        <v>315</v>
      </c>
      <c r="D103" s="10">
        <v>1</v>
      </c>
      <c r="E103" s="10">
        <v>63</v>
      </c>
      <c r="F103" s="10">
        <v>6</v>
      </c>
      <c r="G103" s="10">
        <v>378</v>
      </c>
    </row>
    <row r="104" spans="1:7" x14ac:dyDescent="0.35">
      <c r="A104" s="5">
        <v>64</v>
      </c>
      <c r="B104" s="10">
        <v>7</v>
      </c>
      <c r="C104" s="10">
        <v>448</v>
      </c>
      <c r="D104" s="10">
        <v>3</v>
      </c>
      <c r="E104" s="10">
        <v>192</v>
      </c>
      <c r="F104" s="10">
        <v>10</v>
      </c>
      <c r="G104" s="10">
        <v>640</v>
      </c>
    </row>
    <row r="105" spans="1:7" x14ac:dyDescent="0.35">
      <c r="A105" s="5">
        <v>65</v>
      </c>
      <c r="B105" s="10">
        <v>5</v>
      </c>
      <c r="C105" s="10">
        <v>325</v>
      </c>
      <c r="D105" s="10">
        <v>1</v>
      </c>
      <c r="E105" s="10">
        <v>65</v>
      </c>
      <c r="F105" s="10">
        <v>6</v>
      </c>
      <c r="G105" s="10">
        <v>390</v>
      </c>
    </row>
    <row r="106" spans="1:7" x14ac:dyDescent="0.35">
      <c r="A106" s="5">
        <v>66</v>
      </c>
      <c r="B106" s="10">
        <v>6</v>
      </c>
      <c r="C106" s="10">
        <v>396</v>
      </c>
      <c r="D106" s="10">
        <v>4</v>
      </c>
      <c r="E106" s="10">
        <v>264</v>
      </c>
      <c r="F106" s="10">
        <v>10</v>
      </c>
      <c r="G106" s="10">
        <v>660</v>
      </c>
    </row>
    <row r="107" spans="1:7" x14ac:dyDescent="0.35">
      <c r="A107" s="5">
        <v>67</v>
      </c>
      <c r="B107" s="10">
        <v>4</v>
      </c>
      <c r="C107" s="10">
        <v>268</v>
      </c>
      <c r="D107" s="10">
        <v>1</v>
      </c>
      <c r="E107" s="10">
        <v>67</v>
      </c>
      <c r="F107" s="10">
        <v>5</v>
      </c>
      <c r="G107" s="10">
        <v>335</v>
      </c>
    </row>
    <row r="108" spans="1:7" x14ac:dyDescent="0.35">
      <c r="A108" s="5">
        <v>68</v>
      </c>
      <c r="B108" s="10">
        <v>1</v>
      </c>
      <c r="C108" s="10">
        <v>68</v>
      </c>
      <c r="D108" s="10"/>
      <c r="E108" s="10"/>
      <c r="F108" s="10">
        <v>1</v>
      </c>
      <c r="G108" s="10">
        <v>68</v>
      </c>
    </row>
    <row r="109" spans="1:7" x14ac:dyDescent="0.35">
      <c r="A109" s="5">
        <v>69</v>
      </c>
      <c r="B109" s="10">
        <v>7</v>
      </c>
      <c r="C109" s="10">
        <v>483</v>
      </c>
      <c r="D109" s="10"/>
      <c r="E109" s="10"/>
      <c r="F109" s="10">
        <v>7</v>
      </c>
      <c r="G109" s="10">
        <v>483</v>
      </c>
    </row>
    <row r="110" spans="1:7" x14ac:dyDescent="0.35">
      <c r="A110" s="5">
        <v>70</v>
      </c>
      <c r="B110" s="10">
        <v>3</v>
      </c>
      <c r="C110" s="10">
        <v>210</v>
      </c>
      <c r="D110" s="10">
        <v>1</v>
      </c>
      <c r="E110" s="10">
        <v>70</v>
      </c>
      <c r="F110" s="10">
        <v>4</v>
      </c>
      <c r="G110" s="10">
        <v>280</v>
      </c>
    </row>
    <row r="111" spans="1:7" x14ac:dyDescent="0.35">
      <c r="A111" s="5">
        <v>71</v>
      </c>
      <c r="B111" s="10">
        <v>1</v>
      </c>
      <c r="C111" s="10">
        <v>71</v>
      </c>
      <c r="D111" s="10"/>
      <c r="E111" s="10"/>
      <c r="F111" s="10">
        <v>1</v>
      </c>
      <c r="G111" s="10">
        <v>71</v>
      </c>
    </row>
    <row r="112" spans="1:7" x14ac:dyDescent="0.35">
      <c r="A112" s="5">
        <v>72</v>
      </c>
      <c r="B112" s="10"/>
      <c r="C112" s="10"/>
      <c r="D112" s="10">
        <v>1</v>
      </c>
      <c r="E112" s="10">
        <v>72</v>
      </c>
      <c r="F112" s="10">
        <v>1</v>
      </c>
      <c r="G112" s="10">
        <v>72</v>
      </c>
    </row>
    <row r="113" spans="1:7" x14ac:dyDescent="0.35">
      <c r="A113" s="5">
        <v>73</v>
      </c>
      <c r="B113" s="10">
        <v>1</v>
      </c>
      <c r="C113" s="10">
        <v>73</v>
      </c>
      <c r="D113" s="10">
        <v>1</v>
      </c>
      <c r="E113" s="10">
        <v>73</v>
      </c>
      <c r="F113" s="10">
        <v>2</v>
      </c>
      <c r="G113" s="10">
        <v>146</v>
      </c>
    </row>
    <row r="114" spans="1:7" x14ac:dyDescent="0.35">
      <c r="A114" s="5">
        <v>78</v>
      </c>
      <c r="B114" s="10"/>
      <c r="C114" s="10"/>
      <c r="D114" s="10">
        <v>1</v>
      </c>
      <c r="E114" s="10">
        <v>78</v>
      </c>
      <c r="F114" s="10">
        <v>1</v>
      </c>
      <c r="G114" s="10">
        <v>78</v>
      </c>
    </row>
    <row r="115" spans="1:7" x14ac:dyDescent="0.35">
      <c r="A115" s="5">
        <v>80</v>
      </c>
      <c r="B115" s="10">
        <v>1</v>
      </c>
      <c r="C115" s="10">
        <v>80</v>
      </c>
      <c r="D115" s="10"/>
      <c r="E115" s="10"/>
      <c r="F115" s="10">
        <v>1</v>
      </c>
      <c r="G115" s="10">
        <v>80</v>
      </c>
    </row>
    <row r="116" spans="1:7" x14ac:dyDescent="0.35">
      <c r="A116" s="5">
        <v>89</v>
      </c>
      <c r="B116" s="10">
        <v>1</v>
      </c>
      <c r="C116" s="10">
        <v>89</v>
      </c>
      <c r="D116" s="10"/>
      <c r="E116" s="10"/>
      <c r="F116" s="10">
        <v>1</v>
      </c>
      <c r="G116" s="10">
        <v>89</v>
      </c>
    </row>
    <row r="117" spans="1:7" x14ac:dyDescent="0.35">
      <c r="A117" s="5" t="s">
        <v>43</v>
      </c>
      <c r="B117" s="10">
        <v>307</v>
      </c>
      <c r="C117" s="10">
        <v>14774</v>
      </c>
      <c r="D117" s="10">
        <v>231</v>
      </c>
      <c r="E117" s="10">
        <v>10170</v>
      </c>
      <c r="F117" s="10">
        <v>538</v>
      </c>
      <c r="G117" s="10">
        <v>24944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
  <sheetViews>
    <sheetView showGridLines="0" tabSelected="1" zoomScale="71" zoomScaleNormal="68" workbookViewId="0">
      <selection activeCell="T33" sqref="T33"/>
    </sheetView>
  </sheetViews>
  <sheetFormatPr defaultRowHeight="14.5" x14ac:dyDescent="0.35"/>
  <cols>
    <col min="1" max="16384" width="8.7265625" style="7"/>
  </cols>
  <sheetData>
    <row r="3" spans="3:3" ht="31" x14ac:dyDescent="0.7">
      <c r="C3" s="8" t="s">
        <v>54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Belle</dc:creator>
  <cp:lastModifiedBy>Adenike Hamed</cp:lastModifiedBy>
  <cp:lastPrinted>2025-11-16T15:37:43Z</cp:lastPrinted>
  <dcterms:created xsi:type="dcterms:W3CDTF">2022-03-18T02:50:57Z</dcterms:created>
  <dcterms:modified xsi:type="dcterms:W3CDTF">2026-09-03T11:16:48Z</dcterms:modified>
</cp:coreProperties>
</file>